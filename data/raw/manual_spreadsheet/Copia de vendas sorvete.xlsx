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4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var/mobile/Containers/Data/Application/3AB58808-0A5A-466F-8364-B81784902DD3/Library/Application Support/Drafts/"/>
    </mc:Choice>
  </mc:AlternateContent>
  <xr:revisionPtr revIDLastSave="3786" documentId="8_{3C644B40-22BC-0942-BCD8-E53F6229A877}" xr6:coauthVersionLast="47" xr6:coauthVersionMax="47" xr10:uidLastSave="{8CD8963F-680B-AF4B-B6ED-BDDC10863317}"/>
  <bookViews>
    <workbookView xWindow="0" yWindow="0" windowWidth="0" windowHeight="0" activeTab="1" xr2:uid="{00000000-000D-0000-FFFF-FFFF00000000}"/>
  </bookViews>
  <sheets>
    <sheet name="Anual" sheetId="11" r:id="rId1"/>
    <sheet name="Aug 26" sheetId="50" r:id="rId2"/>
    <sheet name="Jul 26" sheetId="49" r:id="rId3"/>
    <sheet name="Jun 26" sheetId="48" r:id="rId4"/>
    <sheet name="May 26" sheetId="47" r:id="rId5"/>
    <sheet name="April 26" sheetId="45" r:id="rId6"/>
    <sheet name="March 26" sheetId="44" r:id="rId7"/>
    <sheet name="February 26" sheetId="43" r:id="rId8"/>
    <sheet name="January 26" sheetId="42" r:id="rId9"/>
    <sheet name="Dezembro 25" sheetId="41" r:id="rId10"/>
    <sheet name="Novembro 25" sheetId="40" r:id="rId11"/>
    <sheet name="Outubro 25" sheetId="39" r:id="rId12"/>
    <sheet name="Setembro 25" sheetId="38" r:id="rId13"/>
    <sheet name="Agosto 25" sheetId="37" r:id="rId14"/>
    <sheet name="Julho 25" sheetId="36" r:id="rId15"/>
    <sheet name="Junho 25" sheetId="35" r:id="rId16"/>
    <sheet name="Maio 25" sheetId="34" r:id="rId17"/>
    <sheet name="Abril 25" sheetId="33" r:id="rId18"/>
    <sheet name="Mar 25" sheetId="32" r:id="rId19"/>
    <sheet name="Fev 25" sheetId="30" r:id="rId20"/>
    <sheet name="Jan 25" sheetId="29" r:id="rId21"/>
    <sheet name="Dez 24" sheetId="28" r:id="rId22"/>
    <sheet name="Nov 24" sheetId="27" r:id="rId23"/>
    <sheet name="Outubro 24" sheetId="26" r:id="rId24"/>
    <sheet name="Setembro 24" sheetId="25" r:id="rId25"/>
    <sheet name="Agosto 24" sheetId="24" r:id="rId26"/>
    <sheet name="Julho 24" sheetId="23" r:id="rId27"/>
    <sheet name="Junho 24" sheetId="22" r:id="rId28"/>
    <sheet name="Maio 24" sheetId="21" r:id="rId29"/>
    <sheet name="Abril 24" sheetId="19" r:id="rId30"/>
    <sheet name="Março 24" sheetId="18" r:id="rId31"/>
    <sheet name="Fevereiro 24" sheetId="17" r:id="rId32"/>
    <sheet name="Janeiro 24 " sheetId="16" r:id="rId33"/>
    <sheet name="Dezembro 23" sheetId="15" r:id="rId34"/>
    <sheet name="Novembro 23" sheetId="14" r:id="rId35"/>
    <sheet name="Outubro 23" sheetId="13" r:id="rId36"/>
    <sheet name="Setembro 23" sheetId="12" r:id="rId37"/>
    <sheet name="Agosto 23" sheetId="10" r:id="rId38"/>
    <sheet name="Julho 23" sheetId="9" r:id="rId39"/>
    <sheet name="Junho 23" sheetId="8" r:id="rId40"/>
    <sheet name="Maio 23" sheetId="7" r:id="rId41"/>
    <sheet name="Abril 23" sheetId="6" r:id="rId42"/>
    <sheet name="Março 23" sheetId="5" r:id="rId43"/>
    <sheet name="Fevereiro 23" sheetId="4" r:id="rId44"/>
    <sheet name="Janeiro 23" sheetId="3" r:id="rId45"/>
    <sheet name="Dezembro 22" sheetId="2" r:id="rId46"/>
    <sheet name="Novembro 22" sheetId="1" r:id="rId4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50" l="1"/>
  <c r="C36" i="50"/>
  <c r="B37" i="50"/>
  <c r="B38" i="50"/>
  <c r="B37" i="49"/>
  <c r="C36" i="49"/>
  <c r="B36" i="49"/>
  <c r="B38" i="49"/>
  <c r="B35" i="50"/>
  <c r="F6" i="50"/>
  <c r="F6" i="49"/>
  <c r="B38" i="48"/>
  <c r="B36" i="48"/>
  <c r="C36" i="48"/>
  <c r="B37" i="48"/>
  <c r="F6" i="47"/>
  <c r="B36" i="47"/>
  <c r="C36" i="47"/>
  <c r="B37" i="47"/>
  <c r="B35" i="48"/>
  <c r="F6" i="48"/>
  <c r="C35" i="45"/>
  <c r="B35" i="45"/>
  <c r="B36" i="45"/>
  <c r="B35" i="47"/>
  <c r="D66" i="11"/>
  <c r="C66" i="11"/>
  <c r="B66" i="11"/>
  <c r="D49" i="11"/>
  <c r="C49" i="11"/>
  <c r="B49" i="11"/>
  <c r="D33" i="11"/>
  <c r="C33" i="11"/>
  <c r="B33" i="11"/>
  <c r="C16" i="11"/>
  <c r="B16" i="11"/>
  <c r="D16" i="11"/>
  <c r="B34" i="45"/>
  <c r="F6" i="45"/>
  <c r="F6" i="44"/>
  <c r="C34" i="44"/>
  <c r="B34" i="44"/>
  <c r="B35" i="44"/>
  <c r="B36" i="44"/>
  <c r="F6" i="43"/>
  <c r="B34" i="43"/>
  <c r="C34" i="43"/>
  <c r="B35" i="43"/>
  <c r="B36" i="43"/>
  <c r="F6" i="42"/>
  <c r="B35" i="42"/>
  <c r="B36" i="42"/>
  <c r="B34" i="42"/>
  <c r="C34" i="42"/>
  <c r="F6" i="41"/>
  <c r="B34" i="41"/>
  <c r="B35" i="41"/>
  <c r="B36" i="41"/>
  <c r="C34" i="41"/>
  <c r="D65" i="11"/>
  <c r="C65" i="11"/>
  <c r="B65" i="11"/>
  <c r="F6" i="40"/>
  <c r="B34" i="40"/>
  <c r="C34" i="40"/>
  <c r="B35" i="40"/>
  <c r="F6" i="39"/>
  <c r="B34" i="39"/>
  <c r="B35" i="39"/>
  <c r="B34" i="38"/>
  <c r="B35" i="38"/>
  <c r="F6" i="38"/>
  <c r="C34" i="38"/>
  <c r="C34" i="39"/>
  <c r="B36" i="37"/>
  <c r="F6" i="37"/>
  <c r="B34" i="37"/>
  <c r="B35" i="37"/>
  <c r="B34" i="36"/>
  <c r="F6" i="36"/>
  <c r="C34" i="36"/>
  <c r="B35" i="36"/>
  <c r="B36" i="36"/>
  <c r="C34" i="37"/>
  <c r="F6" i="35"/>
  <c r="B34" i="35"/>
  <c r="B35" i="35"/>
  <c r="C34" i="35"/>
  <c r="F6" i="34"/>
  <c r="B34" i="34"/>
  <c r="B35" i="34"/>
  <c r="F6" i="33"/>
  <c r="B34" i="33"/>
  <c r="B35" i="33"/>
  <c r="C34" i="34"/>
  <c r="F6" i="32"/>
  <c r="B34" i="32"/>
  <c r="B35" i="32"/>
  <c r="C34" i="33"/>
  <c r="C34" i="32"/>
  <c r="B35" i="30"/>
  <c r="F7" i="30"/>
  <c r="B36" i="30"/>
  <c r="C35" i="30"/>
  <c r="F7" i="29"/>
  <c r="B35" i="29"/>
  <c r="B36" i="29"/>
  <c r="D48" i="11"/>
  <c r="C48" i="11"/>
  <c r="B48" i="11"/>
  <c r="C35" i="29"/>
  <c r="F7" i="28"/>
  <c r="B35" i="28"/>
  <c r="B36" i="28"/>
  <c r="F7" i="27"/>
  <c r="B35" i="27"/>
  <c r="B36" i="27"/>
  <c r="B37" i="27"/>
  <c r="C35" i="28"/>
  <c r="F7" i="26"/>
  <c r="B35" i="26"/>
  <c r="B36" i="26"/>
  <c r="C35" i="26"/>
  <c r="C35" i="27"/>
  <c r="F7" i="25"/>
  <c r="B35" i="25"/>
  <c r="B36" i="25"/>
  <c r="C35" i="25"/>
  <c r="F7" i="24"/>
  <c r="B35" i="24"/>
  <c r="B36" i="24"/>
  <c r="B37" i="24"/>
  <c r="B38" i="23"/>
  <c r="C35" i="24"/>
  <c r="B35" i="23"/>
  <c r="F7" i="23"/>
  <c r="B36" i="23"/>
  <c r="C35" i="23"/>
  <c r="F7" i="22"/>
  <c r="B35" i="22"/>
  <c r="B36" i="22"/>
  <c r="B65" i="22"/>
  <c r="C35" i="22"/>
  <c r="F7" i="21"/>
  <c r="B35" i="21"/>
  <c r="B65" i="21"/>
  <c r="B36" i="21"/>
  <c r="F7" i="19"/>
  <c r="B35" i="19"/>
  <c r="B36" i="19"/>
  <c r="B37" i="19"/>
  <c r="C35" i="21"/>
  <c r="C35" i="19"/>
  <c r="B65" i="19"/>
  <c r="B35" i="18"/>
  <c r="B36" i="18"/>
  <c r="B37" i="18"/>
  <c r="F7" i="18"/>
  <c r="B36" i="5"/>
  <c r="B37" i="5"/>
  <c r="B65" i="18"/>
  <c r="C35" i="18"/>
  <c r="F7" i="17"/>
  <c r="B35" i="17"/>
  <c r="C35" i="17"/>
  <c r="B36" i="17"/>
  <c r="B37" i="17"/>
  <c r="B65" i="17"/>
  <c r="D32" i="11"/>
  <c r="C32" i="11"/>
  <c r="B32" i="11"/>
  <c r="B65" i="16"/>
  <c r="B35" i="16"/>
  <c r="C35" i="16"/>
  <c r="F7" i="16"/>
  <c r="B36" i="16"/>
  <c r="B65" i="15"/>
  <c r="B35" i="15"/>
  <c r="C35" i="15"/>
  <c r="F7" i="15"/>
  <c r="B36" i="15"/>
  <c r="F7" i="14"/>
  <c r="B65" i="14"/>
  <c r="B35" i="14"/>
  <c r="C35" i="14"/>
  <c r="B36" i="14"/>
  <c r="B65" i="13"/>
  <c r="B35" i="13"/>
  <c r="C35" i="13"/>
  <c r="F7" i="13"/>
  <c r="B36" i="13"/>
  <c r="F7" i="12"/>
  <c r="B65" i="12"/>
  <c r="B35" i="12"/>
  <c r="C35" i="12"/>
  <c r="B36" i="12"/>
  <c r="D15" i="11"/>
  <c r="C15" i="11"/>
  <c r="B15" i="11"/>
  <c r="F7" i="10"/>
  <c r="B35" i="10"/>
  <c r="B36" i="10"/>
  <c r="B65" i="10"/>
  <c r="C35" i="10"/>
  <c r="F7" i="9"/>
  <c r="B65" i="9"/>
  <c r="B35" i="9"/>
  <c r="C35" i="9"/>
  <c r="B36" i="9"/>
  <c r="B65" i="8"/>
  <c r="B35" i="8"/>
  <c r="C35" i="8"/>
  <c r="B36" i="8"/>
  <c r="F7" i="8"/>
  <c r="B66" i="7"/>
  <c r="B36" i="7"/>
  <c r="C36" i="7"/>
  <c r="B37" i="7"/>
  <c r="F8" i="7"/>
  <c r="B66" i="6"/>
  <c r="H40" i="6"/>
  <c r="H38" i="6"/>
  <c r="B36" i="6"/>
  <c r="C36" i="6"/>
  <c r="B37" i="6"/>
  <c r="F8" i="6"/>
  <c r="C66" i="5"/>
  <c r="B66" i="5"/>
  <c r="H40" i="5"/>
  <c r="H38" i="5"/>
  <c r="C36" i="5"/>
  <c r="F8" i="5"/>
  <c r="C66" i="4"/>
  <c r="B66" i="4"/>
  <c r="H40" i="4"/>
  <c r="H38" i="4"/>
  <c r="B36" i="4"/>
  <c r="C36" i="4"/>
  <c r="B37" i="4"/>
  <c r="F8" i="4"/>
  <c r="C66" i="3"/>
  <c r="F8" i="3"/>
  <c r="B36" i="3"/>
  <c r="B66" i="3"/>
  <c r="C36" i="3"/>
  <c r="B37" i="3"/>
  <c r="H40" i="3"/>
  <c r="H38" i="3"/>
  <c r="B35" i="2"/>
  <c r="G37" i="2"/>
  <c r="C35" i="2"/>
  <c r="B36" i="2"/>
  <c r="B13" i="1"/>
  <c r="C13" i="1"/>
  <c r="D18" i="1"/>
  <c r="G39" i="2"/>
  <c r="C18" i="1"/>
  <c r="F7" i="1"/>
</calcChain>
</file>

<file path=xl/sharedStrings.xml><?xml version="1.0" encoding="utf-8"?>
<sst xmlns="http://schemas.openxmlformats.org/spreadsheetml/2006/main" count="760" uniqueCount="122">
  <si>
    <t>Pix</t>
  </si>
  <si>
    <t>Dinheiro</t>
  </si>
  <si>
    <t>Cartao</t>
  </si>
  <si>
    <t>%%</t>
  </si>
  <si>
    <t>Novembro/22</t>
  </si>
  <si>
    <t>Dezembro 2022</t>
  </si>
  <si>
    <t xml:space="preserve">Gastos </t>
  </si>
  <si>
    <t>Neto</t>
  </si>
  <si>
    <t>Vendas</t>
  </si>
  <si>
    <t>Total</t>
  </si>
  <si>
    <t>Gastos</t>
  </si>
  <si>
    <t>Total neto</t>
  </si>
  <si>
    <t>7cx leite</t>
  </si>
  <si>
    <t>50tp 500ml</t>
  </si>
  <si>
    <t>Minha parte</t>
  </si>
  <si>
    <t xml:space="preserve">Total neto a dia de hoje </t>
  </si>
  <si>
    <t>Atacadao</t>
  </si>
  <si>
    <t xml:space="preserve">Vale alimentação </t>
  </si>
  <si>
    <t xml:space="preserve">Stock agua </t>
  </si>
  <si>
    <t xml:space="preserve">Açucar </t>
  </si>
  <si>
    <t>Saldo Lucas gastos</t>
  </si>
  <si>
    <t>Diesel</t>
  </si>
  <si>
    <t xml:space="preserve">10cx lt </t>
  </si>
  <si>
    <t>S sorveteiro</t>
  </si>
  <si>
    <t>Leite</t>
  </si>
  <si>
    <t>Janeiro 2023</t>
  </si>
  <si>
    <t xml:space="preserve">Óleo </t>
  </si>
  <si>
    <t>Pneu</t>
  </si>
  <si>
    <t>Luz</t>
  </si>
  <si>
    <t>7(2)</t>
  </si>
  <si>
    <t>8(2)</t>
  </si>
  <si>
    <t>Parte Irma</t>
  </si>
  <si>
    <t>Atacadao+ Maxi</t>
  </si>
  <si>
    <t>Stock (Acucar+L)</t>
  </si>
  <si>
    <t>15(2)</t>
  </si>
  <si>
    <t xml:space="preserve">Diesel </t>
  </si>
  <si>
    <t>21(2)</t>
  </si>
  <si>
    <t>22(2)</t>
  </si>
  <si>
    <t xml:space="preserve">Cássia </t>
  </si>
  <si>
    <t>D Aparecida</t>
  </si>
  <si>
    <t>29(2)</t>
  </si>
  <si>
    <t>Fevereiro 23</t>
  </si>
  <si>
    <t>5(2)</t>
  </si>
  <si>
    <t>12(2)</t>
  </si>
  <si>
    <t>19(2)</t>
  </si>
  <si>
    <t>Março 23</t>
  </si>
  <si>
    <t>Shopping s</t>
  </si>
  <si>
    <t>Cartão N</t>
  </si>
  <si>
    <t>Cartão A</t>
  </si>
  <si>
    <t>Falta passar p conta inter</t>
  </si>
  <si>
    <t xml:space="preserve"> </t>
  </si>
  <si>
    <t>26(2)</t>
  </si>
  <si>
    <t>Laine</t>
  </si>
  <si>
    <t>30(2)</t>
  </si>
  <si>
    <t xml:space="preserve">Recheio </t>
  </si>
  <si>
    <t>2(2)</t>
  </si>
  <si>
    <t>9(2)</t>
  </si>
  <si>
    <t>16(2)</t>
  </si>
  <si>
    <t xml:space="preserve">Freezer </t>
  </si>
  <si>
    <t>Sacolas</t>
  </si>
  <si>
    <t>Cartao NU</t>
  </si>
  <si>
    <t>Mes</t>
  </si>
  <si>
    <t>Bruto</t>
  </si>
  <si>
    <t xml:space="preserve">Janeiro </t>
  </si>
  <si>
    <t xml:space="preserve">Fevereiro </t>
  </si>
  <si>
    <t xml:space="preserve">Março </t>
  </si>
  <si>
    <t>Abril</t>
  </si>
  <si>
    <t>Maio</t>
  </si>
  <si>
    <t>Junho</t>
  </si>
  <si>
    <t>Julho</t>
  </si>
  <si>
    <t>Agosto</t>
  </si>
  <si>
    <t xml:space="preserve">Setembro </t>
  </si>
  <si>
    <t>Outubro</t>
  </si>
  <si>
    <t>Novembro</t>
  </si>
  <si>
    <t>Dezembro</t>
  </si>
  <si>
    <t>S.S.</t>
  </si>
  <si>
    <t>Cartão Nu</t>
  </si>
  <si>
    <t>Cartao Nu</t>
  </si>
  <si>
    <t>Ss</t>
  </si>
  <si>
    <t xml:space="preserve">Luz </t>
  </si>
  <si>
    <t>Agua</t>
  </si>
  <si>
    <t>Stock</t>
  </si>
  <si>
    <t>Coco</t>
  </si>
  <si>
    <t>.</t>
  </si>
  <si>
    <t>Vai guardar</t>
  </si>
  <si>
    <t>Alvara</t>
  </si>
  <si>
    <t>Dani</t>
  </si>
  <si>
    <t xml:space="preserve">Neto real </t>
  </si>
  <si>
    <t>Kucoin</t>
  </si>
  <si>
    <t>Faltam</t>
  </si>
  <si>
    <t>Cartao inter</t>
  </si>
  <si>
    <t xml:space="preserve">Saldo  </t>
  </si>
  <si>
    <t>Contab</t>
  </si>
  <si>
    <t>Papel crê</t>
  </si>
  <si>
    <t>Das</t>
  </si>
  <si>
    <t>Guia</t>
  </si>
  <si>
    <t>Kouth</t>
  </si>
  <si>
    <t xml:space="preserve">Evento </t>
  </si>
  <si>
    <t xml:space="preserve">Cartao </t>
  </si>
  <si>
    <t xml:space="preserve">Boleto  </t>
  </si>
  <si>
    <t>2 pin -35</t>
  </si>
  <si>
    <t xml:space="preserve">Mercado </t>
  </si>
  <si>
    <t>Cartão</t>
  </si>
  <si>
    <t xml:space="preserve">Restaurante </t>
  </si>
  <si>
    <t>Bancos</t>
  </si>
  <si>
    <t>Maq chur</t>
  </si>
  <si>
    <t xml:space="preserve">Farol </t>
  </si>
  <si>
    <t xml:space="preserve">Faltou </t>
  </si>
  <si>
    <t>Boleto</t>
  </si>
  <si>
    <t xml:space="preserve">Eletrica </t>
  </si>
  <si>
    <t xml:space="preserve">Faltou mês anterior  </t>
  </si>
  <si>
    <t>Data</t>
  </si>
  <si>
    <t xml:space="preserve">Tipo gasto </t>
  </si>
  <si>
    <t xml:space="preserve">Media </t>
  </si>
  <si>
    <t xml:space="preserve">Total bruto </t>
  </si>
  <si>
    <t>Column1</t>
  </si>
  <si>
    <t>Column2</t>
  </si>
  <si>
    <t>Column3</t>
  </si>
  <si>
    <t>Media/mes</t>
  </si>
  <si>
    <t>Media</t>
  </si>
  <si>
    <t>Column4</t>
  </si>
  <si>
    <t>Cartão Sicredi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</si>
</sst>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[$R$]\ #,##0.00" x16r2:formatCode16="[$R$-en-BR]\ #,##0.00"/>
    <numFmt numFmtId="166" formatCode="[$R$]\ #,##0" x16r2:formatCode16="[$R$-en-BR]\ #,##0"/>
    <numFmt numFmtId="167" formatCode="[$]dd/mm/yy;@" x16r2:formatCode16="[$-en-BR,1]dd/mm/yy;@"/>
    <numFmt numFmtId="168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0" fillId="2" borderId="0" xfId="0" applyFill="1"/>
    <xf numFmtId="20" fontId="0" fillId="0" borderId="0" xfId="0" applyNumberFormat="1"/>
    <xf numFmtId="17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/>
    <xf numFmtId="0" fontId="0" fillId="3" borderId="0" xfId="0" applyFill="1"/>
    <xf numFmtId="16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2" borderId="0" xfId="0" applyNumberFormat="1" applyFill="1"/>
    <xf numFmtId="166" fontId="0" fillId="0" borderId="0" xfId="0" applyNumberFormat="1"/>
    <xf numFmtId="166" fontId="0" fillId="3" borderId="0" xfId="0" applyNumberFormat="1" applyFill="1"/>
    <xf numFmtId="167" fontId="0" fillId="0" borderId="0" xfId="0" applyNumberFormat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1" fillId="2" borderId="7" xfId="0" applyFont="1" applyFill="1" applyBorder="1"/>
    <xf numFmtId="0" fontId="0" fillId="0" borderId="7" xfId="0" applyBorder="1"/>
    <xf numFmtId="4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20">
    <dxf>
      <numFmt numFmtId="165" formatCode="[$R$]\ #,##0.00" x16r2:formatCode16="[$R$-en-BR]\ #,##0.00"/>
    </dxf>
    <dxf>
      <numFmt numFmtId="166" formatCode="[$R$]\ #,##0" x16r2:formatCode16="[$R$-en-BR]\ #,##0"/>
    </dxf>
    <dxf>
      <numFmt numFmtId="167" formatCode="[$]dd/mm/yy;@" x16r2:formatCode16="[$-en-BR,1]dd/mm/yy;@"/>
    </dxf>
    <dxf>
      <numFmt numFmtId="165" formatCode="[$R$]\ #,##0.00" x16r2:formatCode16="[$R$-en-BR]\ #,##0.00"/>
    </dxf>
    <dxf>
      <numFmt numFmtId="166" formatCode="[$R$]\ #,##0" x16r2:formatCode16="[$R$-en-BR]\ #,##0"/>
    </dxf>
    <dxf>
      <numFmt numFmtId="167" formatCode="[$]dd/mm/yy;@" x16r2:formatCode16="[$-en-BR,1]dd/mm/yy;@"/>
    </dxf>
    <dxf>
      <numFmt numFmtId="165" formatCode="[$R$]\ #,##0.00" x16r2:formatCode16="[$R$-en-BR]\ #,##0.00"/>
    </dxf>
    <dxf>
      <numFmt numFmtId="166" formatCode="[$R$]\ #,##0" x16r2:formatCode16="[$R$-en-BR]\ #,##0"/>
    </dxf>
    <dxf>
      <numFmt numFmtId="167" formatCode="[$]dd/mm/yy;@" x16r2:formatCode16="[$-en-BR,1]dd/mm/yy;@"/>
    </dxf>
    <dxf>
      <numFmt numFmtId="165" formatCode="[$R$]\ #,##0.00" x16r2:formatCode16="[$R$-en-BR]\ #,##0.00"/>
    </dxf>
    <dxf>
      <numFmt numFmtId="166" formatCode="[$R$]\ #,##0" x16r2:formatCode16="[$R$-en-BR]\ #,##0"/>
    </dxf>
    <dxf>
      <numFmt numFmtId="167" formatCode="[$]dd/mm/yy;@" x16r2:formatCode16="[$-en-BR,1]dd/mm/yy;@"/>
    </dxf>
    <dxf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border outline="0">
        <top style="thin">
          <color rgb="FF505050"/>
        </top>
        <bottom style="thin">
          <color rgb="FF505050"/>
        </bottom>
      </border>
    </dxf>
    <dxf>
      <numFmt numFmtId="165" formatCode="[$R$]\ #,##0.00" x16r2:formatCode16="[$R$-en-BR]\ #,##0.00"/>
    </dxf>
    <dxf>
      <numFmt numFmtId="166" formatCode="[$R$]\ #,##0" x16r2:formatCode16="[$R$-en-BR]\ #,##0"/>
    </dxf>
    <dxf>
      <numFmt numFmtId="167" formatCode="[$]dd/mm/yy;@" x16r2:formatCode16="[$-en-BR,1]dd/mm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FF1B95-8A5E-8940-8DFD-5B986070B3C3}" name="Table4" displayName="Table4" ref="A1:D66" totalsRowShown="0" tableBorderDxfId="16">
  <autoFilter ref="A1:D66" xr:uid="{DBFF1B95-8A5E-8940-8DFD-5B986070B3C3}"/>
  <tableColumns count="4">
    <tableColumn id="1" xr3:uid="{5AB850BB-9031-CA47-94AD-4AB22EE4DE78}" name="Column1" dataDxfId="15"/>
    <tableColumn id="2" xr3:uid="{66E6BF36-1950-034F-8FF3-60A972DDB524}" name="Column2" dataDxfId="14"/>
    <tableColumn id="3" xr3:uid="{A2356E3F-04AC-F743-83A6-96EAA9CA5E79}" name="Column3" dataDxfId="13"/>
    <tableColumn id="4" xr3:uid="{451F3CE8-AA9A-8740-AB0A-5AC409D710EC}" name="Column4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10543D-2E9E-A345-8F00-CE92E2A8BCFB}" name="Table13467" displayName="Table13467" ref="A3:D35" totalsRowShown="0">
  <autoFilter ref="A3:D35" xr:uid="{8056A28A-A949-E541-AD97-A748187736C5}"/>
  <tableColumns count="4">
    <tableColumn id="1" xr3:uid="{01FB78EF-23F9-BB49-B8E8-946E5BBD1FFA}" name="Data" dataDxfId="19"/>
    <tableColumn id="2" xr3:uid="{FD359C22-6270-EE4D-9360-4C206EDD6A9F}" name="Vendas" dataDxfId="18"/>
    <tableColumn id="3" xr3:uid="{29AA54D6-7341-144B-8D50-6F745EFE00B8}" name="Gastos" dataDxfId="17"/>
    <tableColumn id="4" xr3:uid="{A94E1827-0A38-7642-B40E-C3EEC051F222}" name="Tipo gasto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A16DA1-FC3F-2347-9E9A-FA6365993382}" name="Table1346" displayName="Table1346" ref="A3:D35" totalsRowShown="0">
  <autoFilter ref="A3:D35" xr:uid="{8056A28A-A949-E541-AD97-A748187736C5}"/>
  <tableColumns count="4">
    <tableColumn id="1" xr3:uid="{93A4D1AB-F417-9F45-A9EC-7A182210D771}" name="Data" dataDxfId="11"/>
    <tableColumn id="2" xr3:uid="{308890A2-2845-8B4B-9882-F013ED94F731}" name="Vendas" dataDxfId="10"/>
    <tableColumn id="3" xr3:uid="{1AD06CAA-BED8-964C-B490-85113E8CF30F}" name="Gastos" dataDxfId="9"/>
    <tableColumn id="4" xr3:uid="{BF6E735D-0CD3-1044-AE1F-E16DB1701FE8}" name="Tipo gasto 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2CF530-3BEF-344C-955A-1C58F9F2F98F}" name="Table134" displayName="Table134" ref="A3:D35" totalsRowShown="0">
  <autoFilter ref="A3:D35" xr:uid="{8056A28A-A949-E541-AD97-A748187736C5}"/>
  <tableColumns count="4">
    <tableColumn id="1" xr3:uid="{55697902-D3CA-E44F-86EC-4BBE869BE425}" name="Data" dataDxfId="8"/>
    <tableColumn id="2" xr3:uid="{8483F89E-D979-EB48-851D-0D0C48A0FBDC}" name="Vendas" dataDxfId="7"/>
    <tableColumn id="3" xr3:uid="{702D3496-ED70-3F4A-A9DA-AF337AB2FBAE}" name="Gastos" dataDxfId="6"/>
    <tableColumn id="4" xr3:uid="{33932923-AB07-9044-9C6A-15F94A40256B}" name="Tipo gasto 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7681CF-0C23-EC49-ADAC-4E077F8EE0C3}" name="Table13" displayName="Table13" ref="A3:D35" totalsRowShown="0">
  <autoFilter ref="A3:D35" xr:uid="{8056A28A-A949-E541-AD97-A748187736C5}"/>
  <tableColumns count="4">
    <tableColumn id="1" xr3:uid="{D2CF209C-48BF-EF48-9E02-516114EE6B07}" name="Data" dataDxfId="5"/>
    <tableColumn id="2" xr3:uid="{14E6107F-7C56-D140-8D22-74C93EDA586D}" name="Vendas" dataDxfId="4"/>
    <tableColumn id="3" xr3:uid="{824849C9-3804-C44D-8974-C62C59C2055A}" name="Gastos" dataDxfId="3"/>
    <tableColumn id="4" xr3:uid="{09E752E8-3D64-6E46-9B6E-7AC5346DD385}" name="Tipo gasto 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56A28A-A949-E541-AD97-A748187736C5}" name="Table1" displayName="Table1" ref="A3:D34" totalsRowShown="0">
  <autoFilter ref="A3:D34" xr:uid="{8056A28A-A949-E541-AD97-A748187736C5}"/>
  <tableColumns count="4">
    <tableColumn id="1" xr3:uid="{4A520798-86EF-8746-838D-37EDE9DED35E}" name="Data" dataDxfId="2"/>
    <tableColumn id="2" xr3:uid="{46F7C6E6-E238-8C4B-A0BE-AA0CC0E76BC9}" name="Vendas" dataDxfId="1"/>
    <tableColumn id="3" xr3:uid="{8E9BB2C2-1737-964A-AA3E-70035EB1C403}" name="Gastos" dataDxfId="0"/>
    <tableColumn id="4" xr3:uid="{C67E1ED2-D199-1C4B-AB00-1084AD3EFFC2}" name="Tipo gasto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25AEA-4F6B-3B4C-A1F2-7588388C512A}">
  <dimension ref="A1:E66"/>
  <sheetViews>
    <sheetView topLeftCell="A34" zoomScaleNormal="100" zoomScaleSheetLayoutView="100" workbookViewId="0">
      <selection activeCell="D60" sqref="D60"/>
    </sheetView>
  </sheetViews>
  <sheetFormatPr defaultRowHeight="15" x14ac:dyDescent="0.2"/>
  <cols>
    <col min="1" max="2" width="11.02734375" bestFit="1" customWidth="1"/>
    <col min="3" max="3" width="7.80078125" bestFit="1" customWidth="1"/>
    <col min="4" max="4" width="11.02734375" bestFit="1" customWidth="1"/>
  </cols>
  <sheetData>
    <row r="1" spans="1:4" x14ac:dyDescent="0.2">
      <c r="A1" s="18" t="s">
        <v>115</v>
      </c>
      <c r="B1" s="19" t="s">
        <v>116</v>
      </c>
      <c r="C1" s="19" t="s">
        <v>117</v>
      </c>
      <c r="D1" s="20" t="s">
        <v>120</v>
      </c>
    </row>
    <row r="2" spans="1:4" x14ac:dyDescent="0.2">
      <c r="A2" s="5" t="s">
        <v>61</v>
      </c>
      <c r="B2" s="5" t="s">
        <v>62</v>
      </c>
      <c r="C2" s="5" t="s">
        <v>10</v>
      </c>
      <c r="D2" s="5" t="s">
        <v>7</v>
      </c>
    </row>
    <row r="3" spans="1:4" x14ac:dyDescent="0.2">
      <c r="A3" s="5" t="s">
        <v>63</v>
      </c>
      <c r="B3" s="5">
        <v>17355</v>
      </c>
      <c r="C3" s="5">
        <v>2739</v>
      </c>
      <c r="D3" s="5">
        <v>11076</v>
      </c>
    </row>
    <row r="4" spans="1:4" x14ac:dyDescent="0.2">
      <c r="A4" s="5" t="s">
        <v>64</v>
      </c>
      <c r="B4" s="5">
        <v>11062</v>
      </c>
      <c r="C4" s="5">
        <v>481</v>
      </c>
      <c r="D4" s="5">
        <v>10017</v>
      </c>
    </row>
    <row r="5" spans="1:4" x14ac:dyDescent="0.2">
      <c r="A5" s="5" t="s">
        <v>65</v>
      </c>
      <c r="B5" s="5">
        <v>12880</v>
      </c>
      <c r="C5" s="5">
        <v>2502</v>
      </c>
      <c r="D5" s="5">
        <v>8502</v>
      </c>
    </row>
    <row r="6" spans="1:4" x14ac:dyDescent="0.2">
      <c r="A6" s="5" t="s">
        <v>66</v>
      </c>
      <c r="B6" s="5">
        <v>9789</v>
      </c>
      <c r="C6" s="5">
        <v>2080</v>
      </c>
      <c r="D6" s="5">
        <v>6420</v>
      </c>
    </row>
    <row r="7" spans="1:4" x14ac:dyDescent="0.2">
      <c r="A7" s="5" t="s">
        <v>67</v>
      </c>
      <c r="B7" s="5">
        <v>7534</v>
      </c>
      <c r="C7" s="5">
        <v>1699</v>
      </c>
      <c r="D7" s="5">
        <v>5834</v>
      </c>
    </row>
    <row r="8" spans="1:4" x14ac:dyDescent="0.2">
      <c r="A8" s="5" t="s">
        <v>68</v>
      </c>
      <c r="B8" s="5">
        <v>6134</v>
      </c>
      <c r="C8" s="5">
        <v>1606</v>
      </c>
      <c r="D8" s="5">
        <v>4527</v>
      </c>
    </row>
    <row r="9" spans="1:4" x14ac:dyDescent="0.2">
      <c r="A9" s="5" t="s">
        <v>69</v>
      </c>
      <c r="B9" s="5">
        <v>7999</v>
      </c>
      <c r="C9" s="5">
        <v>1157</v>
      </c>
      <c r="D9" s="5">
        <v>6741</v>
      </c>
    </row>
    <row r="10" spans="1:4" x14ac:dyDescent="0.2">
      <c r="A10" s="5" t="s">
        <v>70</v>
      </c>
      <c r="B10" s="5">
        <v>9739</v>
      </c>
      <c r="C10" s="5">
        <v>2085</v>
      </c>
      <c r="D10" s="5">
        <v>7653</v>
      </c>
    </row>
    <row r="11" spans="1:4" x14ac:dyDescent="0.2">
      <c r="A11" s="5" t="s">
        <v>71</v>
      </c>
      <c r="B11" s="5">
        <v>14812</v>
      </c>
      <c r="C11" s="5">
        <v>2205</v>
      </c>
      <c r="D11" s="5">
        <v>12606</v>
      </c>
    </row>
    <row r="12" spans="1:4" x14ac:dyDescent="0.2">
      <c r="A12" s="5" t="s">
        <v>72</v>
      </c>
      <c r="B12">
        <v>12550</v>
      </c>
      <c r="C12" s="5">
        <v>2765</v>
      </c>
      <c r="D12" s="5">
        <v>9253</v>
      </c>
    </row>
    <row r="13" spans="1:4" x14ac:dyDescent="0.2">
      <c r="A13" s="5" t="s">
        <v>73</v>
      </c>
      <c r="B13" s="5">
        <v>15440</v>
      </c>
      <c r="C13" s="5">
        <v>2430</v>
      </c>
      <c r="D13" s="5">
        <v>13009</v>
      </c>
    </row>
    <row r="14" spans="1:4" x14ac:dyDescent="0.2">
      <c r="A14" s="5" t="s">
        <v>74</v>
      </c>
      <c r="B14" s="5">
        <v>27345</v>
      </c>
      <c r="C14" s="5">
        <v>3600</v>
      </c>
      <c r="D14" s="5">
        <v>23747</v>
      </c>
    </row>
    <row r="15" spans="1:4" x14ac:dyDescent="0.2">
      <c r="A15" s="9" t="s">
        <v>9</v>
      </c>
      <c r="B15" s="9">
        <f>SUM(B3:B14)</f>
        <v>152639</v>
      </c>
      <c r="C15" s="9">
        <f>SUM(C3:C14)</f>
        <v>25349</v>
      </c>
      <c r="D15" s="9">
        <f>SUM(D3:D14)</f>
        <v>119385</v>
      </c>
    </row>
    <row r="16" spans="1:4" x14ac:dyDescent="0.2">
      <c r="A16" t="s">
        <v>118</v>
      </c>
      <c r="B16">
        <f>AVERAGE(B3:B14)</f>
        <v>12719.916666666666</v>
      </c>
      <c r="C16">
        <f>AVERAGE(C3:C14)</f>
        <v>2112.4166666666665</v>
      </c>
      <c r="D16">
        <f>AVERAGE(D3:D14)</f>
        <v>9948.75</v>
      </c>
    </row>
    <row r="18" spans="1:4" x14ac:dyDescent="0.2">
      <c r="A18" s="6"/>
      <c r="B18" s="7"/>
      <c r="C18" s="7">
        <v>2024</v>
      </c>
      <c r="D18" s="8"/>
    </row>
    <row r="19" spans="1:4" x14ac:dyDescent="0.2">
      <c r="A19" s="5" t="s">
        <v>61</v>
      </c>
      <c r="B19" s="5" t="s">
        <v>62</v>
      </c>
      <c r="C19" s="5" t="s">
        <v>10</v>
      </c>
      <c r="D19" s="5" t="s">
        <v>7</v>
      </c>
    </row>
    <row r="20" spans="1:4" x14ac:dyDescent="0.2">
      <c r="A20" s="5" t="s">
        <v>63</v>
      </c>
      <c r="B20" s="5">
        <v>21209</v>
      </c>
      <c r="C20" s="5">
        <v>4953</v>
      </c>
      <c r="D20" s="5">
        <v>16255</v>
      </c>
    </row>
    <row r="21" spans="1:4" x14ac:dyDescent="0.2">
      <c r="A21" s="5" t="s">
        <v>64</v>
      </c>
      <c r="B21" s="5">
        <v>16157</v>
      </c>
      <c r="C21" s="5">
        <v>3682</v>
      </c>
      <c r="D21" s="5">
        <v>12474</v>
      </c>
    </row>
    <row r="22" spans="1:4" x14ac:dyDescent="0.2">
      <c r="A22" s="5" t="s">
        <v>65</v>
      </c>
      <c r="B22" s="5">
        <v>18447</v>
      </c>
      <c r="C22" s="5">
        <v>3975</v>
      </c>
      <c r="D22" s="5">
        <v>14471</v>
      </c>
    </row>
    <row r="23" spans="1:4" x14ac:dyDescent="0.2">
      <c r="A23" s="5" t="s">
        <v>66</v>
      </c>
      <c r="B23" s="5">
        <v>13158</v>
      </c>
      <c r="C23" s="5">
        <v>4140</v>
      </c>
      <c r="D23" s="5">
        <v>9017</v>
      </c>
    </row>
    <row r="24" spans="1:4" x14ac:dyDescent="0.2">
      <c r="A24" s="5" t="s">
        <v>67</v>
      </c>
      <c r="B24" s="5">
        <v>12916</v>
      </c>
      <c r="C24" s="5">
        <v>3604</v>
      </c>
      <c r="D24" s="5">
        <v>9311</v>
      </c>
    </row>
    <row r="25" spans="1:4" x14ac:dyDescent="0.2">
      <c r="A25" s="5" t="s">
        <v>68</v>
      </c>
      <c r="B25" s="5">
        <v>14523</v>
      </c>
      <c r="C25" s="5">
        <v>3496</v>
      </c>
      <c r="D25" s="5">
        <v>11026</v>
      </c>
    </row>
    <row r="26" spans="1:4" x14ac:dyDescent="0.2">
      <c r="A26" s="5" t="s">
        <v>69</v>
      </c>
      <c r="B26" s="5">
        <v>11864</v>
      </c>
      <c r="C26" s="5">
        <v>4228</v>
      </c>
      <c r="D26" s="5">
        <v>7635</v>
      </c>
    </row>
    <row r="27" spans="1:4" x14ac:dyDescent="0.2">
      <c r="A27" s="5" t="s">
        <v>70</v>
      </c>
      <c r="B27" s="5">
        <v>16129</v>
      </c>
      <c r="C27" s="5">
        <v>3694</v>
      </c>
      <c r="D27" s="5">
        <v>12434</v>
      </c>
    </row>
    <row r="28" spans="1:4" x14ac:dyDescent="0.2">
      <c r="A28" s="5" t="s">
        <v>71</v>
      </c>
      <c r="B28" s="5">
        <v>16543</v>
      </c>
      <c r="C28" s="5">
        <v>4713</v>
      </c>
      <c r="D28" s="5">
        <v>11830</v>
      </c>
    </row>
    <row r="29" spans="1:4" x14ac:dyDescent="0.2">
      <c r="A29" s="5" t="s">
        <v>72</v>
      </c>
      <c r="B29">
        <v>17700</v>
      </c>
      <c r="C29" s="5">
        <v>4548</v>
      </c>
      <c r="D29" s="5">
        <v>13152</v>
      </c>
    </row>
    <row r="30" spans="1:4" x14ac:dyDescent="0.2">
      <c r="A30" s="5" t="s">
        <v>73</v>
      </c>
      <c r="B30" s="5">
        <v>18653</v>
      </c>
      <c r="C30" s="5">
        <v>4773</v>
      </c>
      <c r="D30" s="5">
        <v>13880</v>
      </c>
    </row>
    <row r="31" spans="1:4" x14ac:dyDescent="0.2">
      <c r="A31" s="5" t="s">
        <v>74</v>
      </c>
      <c r="B31" s="5">
        <v>23439</v>
      </c>
      <c r="C31" s="5">
        <v>4535</v>
      </c>
      <c r="D31" s="5">
        <v>18905</v>
      </c>
    </row>
    <row r="32" spans="1:4" x14ac:dyDescent="0.2">
      <c r="A32" s="9" t="s">
        <v>9</v>
      </c>
      <c r="B32" s="9">
        <f>SUM(B20:B31)</f>
        <v>200738</v>
      </c>
      <c r="C32" s="9">
        <f>SUM(C20:C31)</f>
        <v>50341</v>
      </c>
      <c r="D32" s="9">
        <f>SUM(D20:D31)</f>
        <v>150390</v>
      </c>
    </row>
    <row r="33" spans="1:5" x14ac:dyDescent="0.2">
      <c r="A33" t="s">
        <v>118</v>
      </c>
      <c r="B33">
        <f>AVERAGE(B20:B31)</f>
        <v>16728.166666666668</v>
      </c>
      <c r="C33">
        <f>AVERAGE(C20:C31)</f>
        <v>4195.083333333333</v>
      </c>
      <c r="D33">
        <f>AVERAGE(D20:D31)</f>
        <v>12532.5</v>
      </c>
    </row>
    <row r="34" spans="1:5" x14ac:dyDescent="0.2">
      <c r="A34" s="6"/>
      <c r="B34" s="7"/>
      <c r="C34" s="7">
        <v>2025</v>
      </c>
      <c r="D34" s="8"/>
    </row>
    <row r="35" spans="1:5" x14ac:dyDescent="0.2">
      <c r="A35" s="5" t="s">
        <v>61</v>
      </c>
      <c r="B35" s="5" t="s">
        <v>62</v>
      </c>
      <c r="C35" s="5" t="s">
        <v>10</v>
      </c>
      <c r="D35" s="5" t="s">
        <v>7</v>
      </c>
    </row>
    <row r="36" spans="1:5" x14ac:dyDescent="0.2">
      <c r="A36" s="5" t="s">
        <v>63</v>
      </c>
      <c r="B36" s="5">
        <v>20951</v>
      </c>
      <c r="C36" s="5">
        <v>5564</v>
      </c>
      <c r="D36" s="5">
        <v>15387</v>
      </c>
      <c r="E36" s="10"/>
    </row>
    <row r="37" spans="1:5" x14ac:dyDescent="0.2">
      <c r="A37" s="5" t="s">
        <v>64</v>
      </c>
      <c r="B37" s="5">
        <v>16410</v>
      </c>
      <c r="C37" s="5">
        <v>4996</v>
      </c>
      <c r="D37" s="5">
        <v>11414</v>
      </c>
      <c r="E37" s="10"/>
    </row>
    <row r="38" spans="1:5" x14ac:dyDescent="0.2">
      <c r="A38" s="5" t="s">
        <v>65</v>
      </c>
      <c r="B38" s="5">
        <v>15672</v>
      </c>
      <c r="C38" s="5">
        <v>3690</v>
      </c>
      <c r="D38" s="5">
        <v>11982</v>
      </c>
      <c r="E38" s="10"/>
    </row>
    <row r="39" spans="1:5" x14ac:dyDescent="0.2">
      <c r="A39" s="5" t="s">
        <v>66</v>
      </c>
      <c r="B39" s="5">
        <v>12463</v>
      </c>
      <c r="C39" s="5">
        <v>4547</v>
      </c>
      <c r="D39" s="5">
        <v>7916</v>
      </c>
      <c r="E39" s="10"/>
    </row>
    <row r="40" spans="1:5" x14ac:dyDescent="0.2">
      <c r="A40" s="5" t="s">
        <v>67</v>
      </c>
      <c r="B40" s="5">
        <v>14640</v>
      </c>
      <c r="C40" s="5">
        <v>3972</v>
      </c>
      <c r="D40" s="5">
        <v>10668</v>
      </c>
      <c r="E40" s="10"/>
    </row>
    <row r="41" spans="1:5" x14ac:dyDescent="0.2">
      <c r="A41" s="5" t="s">
        <v>68</v>
      </c>
      <c r="B41" s="5">
        <v>12459</v>
      </c>
      <c r="C41" s="5">
        <v>3314</v>
      </c>
      <c r="D41" s="5">
        <v>9145</v>
      </c>
      <c r="E41" s="10"/>
    </row>
    <row r="42" spans="1:5" x14ac:dyDescent="0.2">
      <c r="A42" s="5" t="s">
        <v>69</v>
      </c>
      <c r="B42" s="5">
        <v>17519</v>
      </c>
      <c r="C42" s="5">
        <v>5444</v>
      </c>
      <c r="D42" s="5">
        <v>12075</v>
      </c>
      <c r="E42" s="10"/>
    </row>
    <row r="43" spans="1:5" x14ac:dyDescent="0.2">
      <c r="A43" s="5" t="s">
        <v>70</v>
      </c>
      <c r="B43" s="5">
        <v>15906</v>
      </c>
      <c r="C43" s="5">
        <v>5575</v>
      </c>
      <c r="D43" s="5">
        <v>10331</v>
      </c>
      <c r="E43" s="10"/>
    </row>
    <row r="44" spans="1:5" x14ac:dyDescent="0.2">
      <c r="A44" s="5" t="s">
        <v>71</v>
      </c>
      <c r="B44" s="5">
        <v>19431</v>
      </c>
      <c r="C44" s="5">
        <v>6487</v>
      </c>
      <c r="D44" s="5">
        <v>12944</v>
      </c>
      <c r="E44" s="10"/>
    </row>
    <row r="45" spans="1:5" x14ac:dyDescent="0.2">
      <c r="A45" s="5" t="s">
        <v>72</v>
      </c>
      <c r="B45">
        <v>15958</v>
      </c>
      <c r="C45" s="5">
        <v>5602</v>
      </c>
      <c r="D45" s="5">
        <v>10356</v>
      </c>
      <c r="E45" s="10"/>
    </row>
    <row r="46" spans="1:5" x14ac:dyDescent="0.2">
      <c r="A46" s="5" t="s">
        <v>73</v>
      </c>
      <c r="B46" s="5">
        <v>24005</v>
      </c>
      <c r="C46" s="5">
        <v>6006</v>
      </c>
      <c r="D46" s="5">
        <v>18000</v>
      </c>
    </row>
    <row r="47" spans="1:5" x14ac:dyDescent="0.2">
      <c r="A47" s="5" t="s">
        <v>74</v>
      </c>
      <c r="B47" s="5">
        <v>28409</v>
      </c>
      <c r="C47" s="5">
        <v>7635</v>
      </c>
      <c r="D47" s="5">
        <v>20774</v>
      </c>
    </row>
    <row r="48" spans="1:5" x14ac:dyDescent="0.2">
      <c r="A48" s="9" t="s">
        <v>9</v>
      </c>
      <c r="B48" s="9">
        <f>SUM(B36:B47)</f>
        <v>213823</v>
      </c>
      <c r="C48" s="9">
        <f>SUM(C36:C47)</f>
        <v>62832</v>
      </c>
      <c r="D48" s="9">
        <f>SUM(D36:D47)</f>
        <v>150992</v>
      </c>
    </row>
    <row r="49" spans="1:4" x14ac:dyDescent="0.2">
      <c r="A49" t="s">
        <v>118</v>
      </c>
      <c r="B49">
        <f>AVERAGE(B36:B47)</f>
        <v>17818.583333333332</v>
      </c>
      <c r="C49">
        <f>AVERAGE(C36:C47)</f>
        <v>5236</v>
      </c>
      <c r="D49">
        <f>AVERAGE(D36:D47)</f>
        <v>12582.666666666666</v>
      </c>
    </row>
    <row r="51" spans="1:4" x14ac:dyDescent="0.2">
      <c r="A51" s="6"/>
      <c r="B51" s="7"/>
      <c r="C51" s="7">
        <v>2026</v>
      </c>
      <c r="D51" s="8"/>
    </row>
    <row r="52" spans="1:4" x14ac:dyDescent="0.2">
      <c r="A52" s="5" t="s">
        <v>61</v>
      </c>
      <c r="B52" s="5" t="s">
        <v>62</v>
      </c>
      <c r="C52" s="5" t="s">
        <v>10</v>
      </c>
      <c r="D52" s="5" t="s">
        <v>7</v>
      </c>
    </row>
    <row r="53" spans="1:4" x14ac:dyDescent="0.2">
      <c r="A53" s="5" t="s">
        <v>63</v>
      </c>
      <c r="B53" s="5">
        <v>28420</v>
      </c>
      <c r="C53" s="5">
        <v>8425</v>
      </c>
      <c r="D53" s="5">
        <v>19995</v>
      </c>
    </row>
    <row r="54" spans="1:4" x14ac:dyDescent="0.2">
      <c r="A54" s="5" t="s">
        <v>64</v>
      </c>
      <c r="B54" s="5">
        <v>22855</v>
      </c>
      <c r="C54" s="5">
        <v>6340</v>
      </c>
      <c r="D54" s="5">
        <v>16515</v>
      </c>
    </row>
    <row r="55" spans="1:4" x14ac:dyDescent="0.2">
      <c r="A55" s="5" t="s">
        <v>65</v>
      </c>
      <c r="B55" s="5">
        <v>20008</v>
      </c>
      <c r="C55" s="5">
        <v>6034</v>
      </c>
      <c r="D55" s="5">
        <v>13974</v>
      </c>
    </row>
    <row r="56" spans="1:4" x14ac:dyDescent="0.2">
      <c r="A56" s="5" t="s">
        <v>66</v>
      </c>
      <c r="B56" s="5">
        <v>16164</v>
      </c>
      <c r="C56" s="5">
        <v>5641</v>
      </c>
      <c r="D56" s="5">
        <v>10523</v>
      </c>
    </row>
    <row r="57" spans="1:4" x14ac:dyDescent="0.2">
      <c r="A57" s="5" t="s">
        <v>67</v>
      </c>
      <c r="B57" s="5">
        <v>13552</v>
      </c>
      <c r="C57" s="5">
        <v>4391</v>
      </c>
      <c r="D57" s="5">
        <v>9161</v>
      </c>
    </row>
    <row r="58" spans="1:4" x14ac:dyDescent="0.2">
      <c r="A58" s="5" t="s">
        <v>68</v>
      </c>
      <c r="B58" s="5">
        <v>12186</v>
      </c>
      <c r="C58" s="5">
        <v>5151</v>
      </c>
      <c r="D58" s="5">
        <v>7035</v>
      </c>
    </row>
    <row r="59" spans="1:4" x14ac:dyDescent="0.2">
      <c r="A59" s="5" t="s">
        <v>69</v>
      </c>
      <c r="B59" s="5">
        <v>16468</v>
      </c>
      <c r="C59" s="5">
        <v>3873</v>
      </c>
      <c r="D59" s="5">
        <v>12595</v>
      </c>
    </row>
    <row r="60" spans="1:4" x14ac:dyDescent="0.2">
      <c r="A60" s="5" t="s">
        <v>70</v>
      </c>
      <c r="B60" s="5"/>
      <c r="C60" s="5"/>
      <c r="D60" s="5"/>
    </row>
    <row r="61" spans="1:4" x14ac:dyDescent="0.2">
      <c r="A61" s="5" t="s">
        <v>71</v>
      </c>
      <c r="B61" s="5"/>
      <c r="C61" s="5"/>
      <c r="D61" s="5"/>
    </row>
    <row r="62" spans="1:4" x14ac:dyDescent="0.2">
      <c r="A62" s="5" t="s">
        <v>72</v>
      </c>
      <c r="C62" s="5"/>
      <c r="D62" s="5"/>
    </row>
    <row r="63" spans="1:4" x14ac:dyDescent="0.2">
      <c r="A63" s="5" t="s">
        <v>73</v>
      </c>
      <c r="B63" s="5"/>
      <c r="C63" s="5"/>
      <c r="D63" s="5"/>
    </row>
    <row r="64" spans="1:4" x14ac:dyDescent="0.2">
      <c r="A64" s="5" t="s">
        <v>74</v>
      </c>
      <c r="B64" s="5"/>
      <c r="C64" s="5"/>
      <c r="D64" s="5"/>
    </row>
    <row r="65" spans="1:4" x14ac:dyDescent="0.2">
      <c r="A65" s="21" t="s">
        <v>9</v>
      </c>
      <c r="B65" s="21">
        <f>SUM(B53:B64)</f>
        <v>129653</v>
      </c>
      <c r="C65" s="21">
        <f>SUM(C53:C64)</f>
        <v>39855</v>
      </c>
      <c r="D65" s="21">
        <f>SUM(D53:D64)</f>
        <v>89798</v>
      </c>
    </row>
    <row r="66" spans="1:4" x14ac:dyDescent="0.2">
      <c r="A66" s="22" t="s">
        <v>118</v>
      </c>
      <c r="B66" s="22">
        <f>AVERAGE(B53:B64)</f>
        <v>18521.857142857141</v>
      </c>
      <c r="C66" s="22">
        <f>AVERAGE(C53:C64)</f>
        <v>5693.5714285714284</v>
      </c>
      <c r="D66" s="22">
        <f>AVERAGE(D53:D64)</f>
        <v>12828.285714285714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6A5C-50B2-C345-8513-8CC7B1833036}">
  <dimension ref="A1:F38"/>
  <sheetViews>
    <sheetView tabSelected="1" zoomScaleNormal="100" zoomScaleSheetLayoutView="100" workbookViewId="0">
      <selection activeCell="B6" sqref="B6"/>
    </sheetView>
  </sheetViews>
  <sheetFormatPr defaultRowHeight="15" x14ac:dyDescent="0.2"/>
  <cols>
    <col min="1" max="1" width="10.625" style="1" bestFit="1" customWidth="1"/>
    <col min="2" max="2" width="11.02734375" bestFit="1" customWidth="1"/>
    <col min="3" max="3" width="11.8359375" bestFit="1" customWidth="1"/>
    <col min="4" max="4" width="18.16015625" bestFit="1" customWidth="1"/>
  </cols>
  <sheetData>
    <row r="1" spans="1:6" x14ac:dyDescent="0.2">
      <c r="D1" s="4">
        <v>46235</v>
      </c>
    </row>
    <row r="3" spans="1:6" x14ac:dyDescent="0.2">
      <c r="A3" s="1" t="s">
        <v>111</v>
      </c>
      <c r="B3" s="13" t="s">
        <v>8</v>
      </c>
      <c r="C3" s="14" t="s">
        <v>10</v>
      </c>
      <c r="D3" t="s">
        <v>112</v>
      </c>
      <c r="E3" t="s">
        <v>1</v>
      </c>
      <c r="F3">
        <v>212</v>
      </c>
    </row>
    <row r="4" spans="1:6" x14ac:dyDescent="0.2">
      <c r="A4" s="17">
        <v>46235</v>
      </c>
      <c r="B4" s="15">
        <v>864</v>
      </c>
      <c r="C4" s="14">
        <v>4524</v>
      </c>
      <c r="D4" t="s">
        <v>77</v>
      </c>
      <c r="E4" s="1" t="s">
        <v>0</v>
      </c>
      <c r="F4">
        <v>88</v>
      </c>
    </row>
    <row r="5" spans="1:6" x14ac:dyDescent="0.2">
      <c r="A5" s="17">
        <v>46236</v>
      </c>
      <c r="B5" s="15">
        <v>643</v>
      </c>
      <c r="C5" s="14">
        <v>2003</v>
      </c>
      <c r="D5" t="s">
        <v>121</v>
      </c>
      <c r="E5" t="s">
        <v>2</v>
      </c>
      <c r="F5">
        <v>393</v>
      </c>
    </row>
    <row r="6" spans="1:6" x14ac:dyDescent="0.2">
      <c r="A6" s="17">
        <v>46237</v>
      </c>
      <c r="B6" s="15"/>
      <c r="C6" s="14"/>
      <c r="F6" s="12">
        <f>SUM(F3:F5)-50</f>
        <v>643</v>
      </c>
    </row>
    <row r="7" spans="1:6" x14ac:dyDescent="0.2">
      <c r="A7" s="17">
        <v>46238</v>
      </c>
      <c r="B7" s="15"/>
      <c r="C7" s="14">
        <v>353</v>
      </c>
      <c r="D7" t="s">
        <v>28</v>
      </c>
    </row>
    <row r="8" spans="1:6" x14ac:dyDescent="0.2">
      <c r="A8" s="17">
        <v>46239</v>
      </c>
      <c r="B8" s="15"/>
      <c r="C8" s="14">
        <v>89</v>
      </c>
      <c r="D8" t="s">
        <v>94</v>
      </c>
    </row>
    <row r="9" spans="1:6" x14ac:dyDescent="0.2">
      <c r="A9" s="17">
        <v>46240</v>
      </c>
      <c r="B9" s="15"/>
      <c r="C9" s="14">
        <v>107</v>
      </c>
      <c r="D9" t="s">
        <v>92</v>
      </c>
    </row>
    <row r="10" spans="1:6" x14ac:dyDescent="0.2">
      <c r="A10" s="17">
        <v>46241</v>
      </c>
      <c r="B10" s="15"/>
      <c r="C10" s="14">
        <v>20</v>
      </c>
      <c r="D10" t="s">
        <v>103</v>
      </c>
    </row>
    <row r="11" spans="1:6" x14ac:dyDescent="0.2">
      <c r="A11" s="17">
        <v>46242</v>
      </c>
      <c r="B11" s="15"/>
      <c r="C11" s="14"/>
    </row>
    <row r="12" spans="1:6" x14ac:dyDescent="0.2">
      <c r="A12" s="17">
        <v>46243</v>
      </c>
      <c r="B12" s="15"/>
      <c r="C12" s="14"/>
    </row>
    <row r="13" spans="1:6" x14ac:dyDescent="0.2">
      <c r="A13" s="17">
        <v>46244</v>
      </c>
      <c r="B13" s="16"/>
      <c r="C13" s="14"/>
    </row>
    <row r="14" spans="1:6" x14ac:dyDescent="0.2">
      <c r="A14" s="17">
        <v>46245</v>
      </c>
      <c r="B14" s="15"/>
      <c r="C14" s="14">
        <v>7000</v>
      </c>
      <c r="D14" t="s">
        <v>110</v>
      </c>
    </row>
    <row r="15" spans="1:6" x14ac:dyDescent="0.2">
      <c r="A15" s="17">
        <v>46246</v>
      </c>
      <c r="B15" s="15"/>
      <c r="C15" s="14"/>
    </row>
    <row r="16" spans="1:6" x14ac:dyDescent="0.2">
      <c r="A16" s="17">
        <v>46247</v>
      </c>
      <c r="B16" s="15"/>
      <c r="C16" s="14"/>
      <c r="F16" s="3"/>
    </row>
    <row r="17" spans="1:3" x14ac:dyDescent="0.2">
      <c r="A17" s="17">
        <v>46248</v>
      </c>
      <c r="B17" s="15"/>
      <c r="C17" s="14"/>
    </row>
    <row r="18" spans="1:3" x14ac:dyDescent="0.2">
      <c r="A18" s="17">
        <v>46249</v>
      </c>
      <c r="B18" s="15"/>
      <c r="C18" s="14"/>
    </row>
    <row r="19" spans="1:3" x14ac:dyDescent="0.2">
      <c r="A19" s="17">
        <v>46250</v>
      </c>
      <c r="B19" s="15"/>
      <c r="C19" s="13"/>
    </row>
    <row r="20" spans="1:3" x14ac:dyDescent="0.2">
      <c r="A20" s="17">
        <v>46251</v>
      </c>
      <c r="B20" s="15"/>
      <c r="C20" s="13"/>
    </row>
    <row r="21" spans="1:3" x14ac:dyDescent="0.2">
      <c r="A21" s="17">
        <v>46252</v>
      </c>
      <c r="B21" s="15"/>
      <c r="C21" s="13"/>
    </row>
    <row r="22" spans="1:3" x14ac:dyDescent="0.2">
      <c r="A22" s="17">
        <v>46253</v>
      </c>
      <c r="B22" s="15"/>
      <c r="C22" s="13"/>
    </row>
    <row r="23" spans="1:3" x14ac:dyDescent="0.2">
      <c r="A23" s="17">
        <v>46254</v>
      </c>
      <c r="B23" s="15"/>
      <c r="C23" s="13"/>
    </row>
    <row r="24" spans="1:3" x14ac:dyDescent="0.2">
      <c r="A24" s="17">
        <v>46255</v>
      </c>
      <c r="B24" s="15"/>
      <c r="C24" s="13"/>
    </row>
    <row r="25" spans="1:3" x14ac:dyDescent="0.2">
      <c r="A25" s="17">
        <v>46256</v>
      </c>
      <c r="B25" s="15"/>
      <c r="C25" s="13"/>
    </row>
    <row r="26" spans="1:3" x14ac:dyDescent="0.2">
      <c r="A26" s="17">
        <v>46257</v>
      </c>
      <c r="B26" s="15"/>
      <c r="C26" s="13"/>
    </row>
    <row r="27" spans="1:3" x14ac:dyDescent="0.2">
      <c r="A27" s="17">
        <v>46258</v>
      </c>
      <c r="B27" s="15"/>
      <c r="C27" s="13"/>
    </row>
    <row r="28" spans="1:3" x14ac:dyDescent="0.2">
      <c r="A28" s="17">
        <v>46259</v>
      </c>
      <c r="B28" s="15"/>
      <c r="C28" s="13"/>
    </row>
    <row r="29" spans="1:3" x14ac:dyDescent="0.2">
      <c r="A29" s="17">
        <v>46260</v>
      </c>
      <c r="B29" s="15"/>
      <c r="C29" s="13"/>
    </row>
    <row r="30" spans="1:3" x14ac:dyDescent="0.2">
      <c r="A30" s="17">
        <v>46261</v>
      </c>
      <c r="B30" s="15"/>
      <c r="C30" s="13"/>
    </row>
    <row r="31" spans="1:3" x14ac:dyDescent="0.2">
      <c r="A31" s="17">
        <v>46262</v>
      </c>
      <c r="B31" s="15"/>
      <c r="C31" s="13"/>
    </row>
    <row r="32" spans="1:3" x14ac:dyDescent="0.2">
      <c r="A32" s="17">
        <v>46263</v>
      </c>
      <c r="B32" s="15"/>
      <c r="C32" s="13"/>
    </row>
    <row r="33" spans="1:3" x14ac:dyDescent="0.2">
      <c r="A33" s="17">
        <v>46264</v>
      </c>
      <c r="B33" s="15"/>
      <c r="C33" s="13"/>
    </row>
    <row r="34" spans="1:3" x14ac:dyDescent="0.2">
      <c r="A34" s="17">
        <v>46265</v>
      </c>
      <c r="B34" s="15"/>
      <c r="C34" s="13"/>
    </row>
    <row r="35" spans="1:3" x14ac:dyDescent="0.2">
      <c r="A35" s="17" t="s">
        <v>119</v>
      </c>
      <c r="B35" s="15">
        <f>AVERAGE(B4:B34)</f>
        <v>753.5</v>
      </c>
      <c r="C35" s="13"/>
    </row>
    <row r="36" spans="1:3" x14ac:dyDescent="0.2">
      <c r="A36" s="1" t="s">
        <v>114</v>
      </c>
      <c r="B36" s="15">
        <f>SUM(B4:B33)</f>
        <v>1507</v>
      </c>
      <c r="C36">
        <f>SUM(C4:C35)</f>
        <v>14096</v>
      </c>
    </row>
    <row r="37" spans="1:3" x14ac:dyDescent="0.2">
      <c r="A37" s="1" t="s">
        <v>11</v>
      </c>
      <c r="B37" s="12">
        <f>B36-C36</f>
        <v>-12589</v>
      </c>
    </row>
    <row r="38" spans="1:3" x14ac:dyDescent="0.2">
      <c r="A38" s="1" t="s">
        <v>91</v>
      </c>
      <c r="B38" s="12">
        <f>B37-15900</f>
        <v>-28489</v>
      </c>
    </row>
  </sheetData>
  <phoneticPr fontId="2" alignment="center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A810-64D5-8A4C-A312-7EE5B3519E02}">
  <dimension ref="A1:F38"/>
  <sheetViews>
    <sheetView zoomScaleNormal="100" zoomScaleSheetLayoutView="100" workbookViewId="0">
      <selection activeCell="B38" sqref="B38"/>
    </sheetView>
  </sheetViews>
  <sheetFormatPr defaultRowHeight="15" x14ac:dyDescent="0.2"/>
  <cols>
    <col min="1" max="1" width="10.625" style="1" bestFit="1" customWidth="1"/>
    <col min="2" max="2" width="11.02734375" bestFit="1" customWidth="1"/>
    <col min="3" max="3" width="11.8359375" bestFit="1" customWidth="1"/>
    <col min="4" max="4" width="18.16015625" bestFit="1" customWidth="1"/>
  </cols>
  <sheetData>
    <row r="1" spans="1:6" x14ac:dyDescent="0.2">
      <c r="D1" s="4">
        <v>46204</v>
      </c>
    </row>
    <row r="3" spans="1:6" x14ac:dyDescent="0.2">
      <c r="A3" s="1" t="s">
        <v>111</v>
      </c>
      <c r="B3" s="13" t="s">
        <v>8</v>
      </c>
      <c r="C3" s="14" t="s">
        <v>10</v>
      </c>
      <c r="D3" t="s">
        <v>112</v>
      </c>
      <c r="E3" t="s">
        <v>1</v>
      </c>
    </row>
    <row r="4" spans="1:6" x14ac:dyDescent="0.2">
      <c r="A4" s="17">
        <v>46204</v>
      </c>
      <c r="B4" s="15">
        <v>625</v>
      </c>
      <c r="C4" s="14">
        <v>3200</v>
      </c>
      <c r="D4" t="s">
        <v>2</v>
      </c>
      <c r="E4" s="1" t="s">
        <v>0</v>
      </c>
    </row>
    <row r="5" spans="1:6" x14ac:dyDescent="0.2">
      <c r="A5" s="17">
        <v>46205</v>
      </c>
      <c r="B5" s="15">
        <v>130</v>
      </c>
      <c r="C5" s="14"/>
      <c r="D5" t="s">
        <v>108</v>
      </c>
      <c r="E5" t="s">
        <v>2</v>
      </c>
    </row>
    <row r="6" spans="1:6" x14ac:dyDescent="0.2">
      <c r="A6" s="17">
        <v>46206</v>
      </c>
      <c r="B6" s="15">
        <v>114</v>
      </c>
      <c r="C6" s="14"/>
      <c r="F6" s="12">
        <f>SUM(F3:F5)-50</f>
        <v>-50</v>
      </c>
    </row>
    <row r="7" spans="1:6" x14ac:dyDescent="0.2">
      <c r="A7" s="17">
        <v>46207</v>
      </c>
      <c r="B7" s="15">
        <v>1180</v>
      </c>
      <c r="C7" s="14">
        <v>339</v>
      </c>
      <c r="D7" t="s">
        <v>28</v>
      </c>
    </row>
    <row r="8" spans="1:6" x14ac:dyDescent="0.2">
      <c r="A8" s="17">
        <v>46208</v>
      </c>
      <c r="B8" s="15">
        <v>0</v>
      </c>
      <c r="C8" s="14">
        <v>89</v>
      </c>
      <c r="D8" t="s">
        <v>94</v>
      </c>
    </row>
    <row r="9" spans="1:6" x14ac:dyDescent="0.2">
      <c r="A9" s="17">
        <v>46209</v>
      </c>
      <c r="B9" s="15">
        <v>0</v>
      </c>
      <c r="C9" s="14">
        <v>107</v>
      </c>
      <c r="D9" t="s">
        <v>92</v>
      </c>
    </row>
    <row r="10" spans="1:6" x14ac:dyDescent="0.2">
      <c r="A10" s="17">
        <v>46210</v>
      </c>
      <c r="B10" s="15">
        <v>278</v>
      </c>
      <c r="C10" s="14">
        <v>88</v>
      </c>
      <c r="D10" t="s">
        <v>103</v>
      </c>
    </row>
    <row r="11" spans="1:6" x14ac:dyDescent="0.2">
      <c r="A11" s="17">
        <v>46211</v>
      </c>
      <c r="B11" s="15">
        <v>711</v>
      </c>
      <c r="C11" s="14">
        <v>50</v>
      </c>
      <c r="D11" t="s">
        <v>109</v>
      </c>
    </row>
    <row r="12" spans="1:6" x14ac:dyDescent="0.2">
      <c r="A12" s="17">
        <v>46212</v>
      </c>
      <c r="B12" s="15">
        <v>709</v>
      </c>
      <c r="C12" s="14"/>
    </row>
    <row r="13" spans="1:6" x14ac:dyDescent="0.2">
      <c r="A13" s="17">
        <v>46213</v>
      </c>
      <c r="B13" s="16">
        <v>477</v>
      </c>
      <c r="C13" s="14"/>
    </row>
    <row r="14" spans="1:6" x14ac:dyDescent="0.2">
      <c r="A14" s="17">
        <v>46214</v>
      </c>
      <c r="B14" s="15">
        <v>0</v>
      </c>
      <c r="C14" s="14">
        <v>3900</v>
      </c>
      <c r="D14" t="s">
        <v>110</v>
      </c>
    </row>
    <row r="15" spans="1:6" x14ac:dyDescent="0.2">
      <c r="A15" s="17">
        <v>46215</v>
      </c>
      <c r="B15" s="15">
        <v>708</v>
      </c>
      <c r="C15" s="14"/>
    </row>
    <row r="16" spans="1:6" x14ac:dyDescent="0.2">
      <c r="A16" s="17">
        <v>46216</v>
      </c>
      <c r="B16" s="15">
        <v>236</v>
      </c>
      <c r="C16" s="14"/>
      <c r="F16" s="3"/>
    </row>
    <row r="17" spans="1:3" x14ac:dyDescent="0.2">
      <c r="A17" s="17">
        <v>46217</v>
      </c>
      <c r="B17" s="15">
        <v>334</v>
      </c>
      <c r="C17" s="14"/>
    </row>
    <row r="18" spans="1:3" x14ac:dyDescent="0.2">
      <c r="A18" s="17">
        <v>46218</v>
      </c>
      <c r="B18" s="15">
        <v>509</v>
      </c>
      <c r="C18" s="14"/>
    </row>
    <row r="19" spans="1:3" x14ac:dyDescent="0.2">
      <c r="A19" s="17">
        <v>46219</v>
      </c>
      <c r="B19" s="15">
        <v>646</v>
      </c>
      <c r="C19" s="13"/>
    </row>
    <row r="20" spans="1:3" x14ac:dyDescent="0.2">
      <c r="A20" s="17">
        <v>46220</v>
      </c>
      <c r="B20" s="15">
        <v>621</v>
      </c>
      <c r="C20" s="13"/>
    </row>
    <row r="21" spans="1:3" x14ac:dyDescent="0.2">
      <c r="A21" s="17">
        <v>46221</v>
      </c>
      <c r="B21" s="15">
        <v>969</v>
      </c>
      <c r="C21" s="13"/>
    </row>
    <row r="22" spans="1:3" x14ac:dyDescent="0.2">
      <c r="A22" s="17">
        <v>46222</v>
      </c>
      <c r="B22" s="15">
        <v>518</v>
      </c>
      <c r="C22" s="13"/>
    </row>
    <row r="23" spans="1:3" x14ac:dyDescent="0.2">
      <c r="A23" s="17">
        <v>46223</v>
      </c>
      <c r="B23" s="15">
        <v>723</v>
      </c>
      <c r="C23" s="13"/>
    </row>
    <row r="24" spans="1:3" x14ac:dyDescent="0.2">
      <c r="A24" s="17">
        <v>46224</v>
      </c>
      <c r="B24" s="15">
        <v>624</v>
      </c>
      <c r="C24" s="13"/>
    </row>
    <row r="25" spans="1:3" x14ac:dyDescent="0.2">
      <c r="A25" s="17">
        <v>46225</v>
      </c>
      <c r="B25" s="15">
        <v>0</v>
      </c>
      <c r="C25" s="13"/>
    </row>
    <row r="26" spans="1:3" x14ac:dyDescent="0.2">
      <c r="A26" s="17">
        <v>46226</v>
      </c>
      <c r="B26" s="15">
        <v>485</v>
      </c>
      <c r="C26" s="13"/>
    </row>
    <row r="27" spans="1:3" x14ac:dyDescent="0.2">
      <c r="A27" s="17">
        <v>46227</v>
      </c>
      <c r="B27" s="15">
        <v>175</v>
      </c>
      <c r="C27" s="13"/>
    </row>
    <row r="28" spans="1:3" x14ac:dyDescent="0.2">
      <c r="A28" s="17">
        <v>46228</v>
      </c>
      <c r="B28" s="15">
        <v>1188</v>
      </c>
      <c r="C28" s="13"/>
    </row>
    <row r="29" spans="1:3" x14ac:dyDescent="0.2">
      <c r="A29" s="17">
        <v>46229</v>
      </c>
      <c r="B29" s="15">
        <v>1018</v>
      </c>
      <c r="C29" s="13"/>
    </row>
    <row r="30" spans="1:3" x14ac:dyDescent="0.2">
      <c r="A30" s="17">
        <v>46230</v>
      </c>
      <c r="B30" s="15">
        <v>582</v>
      </c>
      <c r="C30" s="13"/>
    </row>
    <row r="31" spans="1:3" x14ac:dyDescent="0.2">
      <c r="A31" s="17">
        <v>46231</v>
      </c>
      <c r="B31" s="15">
        <v>574</v>
      </c>
      <c r="C31" s="13"/>
    </row>
    <row r="32" spans="1:3" x14ac:dyDescent="0.2">
      <c r="A32" s="17">
        <v>46232</v>
      </c>
      <c r="B32" s="15">
        <v>497</v>
      </c>
      <c r="C32" s="13"/>
    </row>
    <row r="33" spans="1:3" x14ac:dyDescent="0.2">
      <c r="A33" s="17">
        <v>46233</v>
      </c>
      <c r="B33" s="15">
        <v>487</v>
      </c>
      <c r="C33" s="13"/>
    </row>
    <row r="34" spans="1:3" x14ac:dyDescent="0.2">
      <c r="A34" s="17">
        <v>46234</v>
      </c>
      <c r="B34" s="15">
        <v>574</v>
      </c>
      <c r="C34" s="13"/>
    </row>
    <row r="35" spans="1:3" x14ac:dyDescent="0.2">
      <c r="A35" s="17" t="s">
        <v>119</v>
      </c>
      <c r="B35" s="15"/>
      <c r="C35" s="13"/>
    </row>
    <row r="36" spans="1:3" x14ac:dyDescent="0.2">
      <c r="A36" s="1" t="s">
        <v>114</v>
      </c>
      <c r="B36" s="15">
        <f>SUM(B4:B33)</f>
        <v>15118</v>
      </c>
      <c r="C36">
        <f>SUM(C4:C35)</f>
        <v>7773</v>
      </c>
    </row>
    <row r="37" spans="1:3" x14ac:dyDescent="0.2">
      <c r="A37" s="1" t="s">
        <v>11</v>
      </c>
      <c r="B37" s="12">
        <f>B36-C36+1617</f>
        <v>8962</v>
      </c>
    </row>
    <row r="38" spans="1:3" x14ac:dyDescent="0.2">
      <c r="A38" s="1" t="s">
        <v>91</v>
      </c>
      <c r="B38" s="12">
        <f>B37-16000</f>
        <v>-7038</v>
      </c>
    </row>
  </sheetData>
  <phoneticPr fontId="2" alignment="center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3FBD4-B545-FF40-B550-9C1C15383CAE}">
  <dimension ref="A1:F38"/>
  <sheetViews>
    <sheetView zoomScaleNormal="100" zoomScaleSheetLayoutView="100" workbookViewId="0">
      <selection activeCell="B38" sqref="B38"/>
    </sheetView>
  </sheetViews>
  <sheetFormatPr defaultRowHeight="15" x14ac:dyDescent="0.2"/>
  <cols>
    <col min="1" max="1" width="10.625" style="1" bestFit="1" customWidth="1"/>
    <col min="2" max="2" width="11.02734375" bestFit="1" customWidth="1"/>
    <col min="3" max="3" width="11.8359375" bestFit="1" customWidth="1"/>
    <col min="4" max="4" width="18.16015625" bestFit="1" customWidth="1"/>
  </cols>
  <sheetData>
    <row r="1" spans="1:6" x14ac:dyDescent="0.2">
      <c r="D1" s="4">
        <v>46174</v>
      </c>
    </row>
    <row r="3" spans="1:6" x14ac:dyDescent="0.2">
      <c r="A3" s="1" t="s">
        <v>111</v>
      </c>
      <c r="B3" s="13" t="s">
        <v>8</v>
      </c>
      <c r="C3" s="14" t="s">
        <v>10</v>
      </c>
      <c r="D3" t="s">
        <v>112</v>
      </c>
      <c r="E3" t="s">
        <v>1</v>
      </c>
    </row>
    <row r="4" spans="1:6" x14ac:dyDescent="0.2">
      <c r="A4" s="17">
        <v>46174</v>
      </c>
      <c r="B4" s="15">
        <v>332</v>
      </c>
      <c r="C4" s="14">
        <v>4272</v>
      </c>
      <c r="D4" t="s">
        <v>2</v>
      </c>
      <c r="E4" s="1" t="s">
        <v>0</v>
      </c>
    </row>
    <row r="5" spans="1:6" x14ac:dyDescent="0.2">
      <c r="A5" s="17">
        <v>46175</v>
      </c>
      <c r="B5" s="15">
        <v>418</v>
      </c>
      <c r="C5" s="14"/>
      <c r="D5" t="s">
        <v>108</v>
      </c>
      <c r="E5" t="s">
        <v>2</v>
      </c>
    </row>
    <row r="6" spans="1:6" x14ac:dyDescent="0.2">
      <c r="A6" s="17">
        <v>46176</v>
      </c>
      <c r="B6" s="15">
        <v>200</v>
      </c>
      <c r="C6" s="14"/>
      <c r="F6" s="12">
        <f>SUM(F3:F5)-50</f>
        <v>-50</v>
      </c>
    </row>
    <row r="7" spans="1:6" x14ac:dyDescent="0.2">
      <c r="A7" s="17">
        <v>46177</v>
      </c>
      <c r="B7" s="15">
        <v>1007</v>
      </c>
      <c r="C7" s="14">
        <v>368</v>
      </c>
      <c r="D7" t="s">
        <v>28</v>
      </c>
    </row>
    <row r="8" spans="1:6" x14ac:dyDescent="0.2">
      <c r="A8" s="17">
        <v>46178</v>
      </c>
      <c r="B8" s="15">
        <v>583</v>
      </c>
      <c r="C8" s="14">
        <v>89</v>
      </c>
      <c r="D8" t="s">
        <v>94</v>
      </c>
    </row>
    <row r="9" spans="1:6" x14ac:dyDescent="0.2">
      <c r="A9" s="17">
        <v>46179</v>
      </c>
      <c r="B9" s="15">
        <v>774</v>
      </c>
      <c r="C9" s="14">
        <v>107</v>
      </c>
      <c r="D9" t="s">
        <v>92</v>
      </c>
    </row>
    <row r="10" spans="1:6" x14ac:dyDescent="0.2">
      <c r="A10" s="17">
        <v>46180</v>
      </c>
      <c r="B10" s="15">
        <v>836</v>
      </c>
      <c r="C10" s="14">
        <v>165</v>
      </c>
      <c r="D10" t="s">
        <v>103</v>
      </c>
    </row>
    <row r="11" spans="1:6" x14ac:dyDescent="0.2">
      <c r="A11" s="17">
        <v>46181</v>
      </c>
      <c r="B11" s="15">
        <v>526</v>
      </c>
      <c r="C11" s="14">
        <v>150</v>
      </c>
      <c r="D11" t="s">
        <v>109</v>
      </c>
    </row>
    <row r="12" spans="1:6" x14ac:dyDescent="0.2">
      <c r="A12" s="17">
        <v>46182</v>
      </c>
      <c r="B12" s="15">
        <v>459</v>
      </c>
      <c r="C12" s="14"/>
    </row>
    <row r="13" spans="1:6" x14ac:dyDescent="0.2">
      <c r="A13" s="17">
        <v>46183</v>
      </c>
      <c r="B13" s="16">
        <v>0</v>
      </c>
      <c r="C13" s="14"/>
    </row>
    <row r="14" spans="1:6" x14ac:dyDescent="0.2">
      <c r="A14" s="17">
        <v>46184</v>
      </c>
      <c r="B14" s="15">
        <v>0</v>
      </c>
      <c r="C14" s="14">
        <v>4350</v>
      </c>
      <c r="D14" t="s">
        <v>110</v>
      </c>
    </row>
    <row r="15" spans="1:6" x14ac:dyDescent="0.2">
      <c r="A15" s="17">
        <v>46185</v>
      </c>
      <c r="B15" s="15">
        <v>318</v>
      </c>
      <c r="C15" s="14"/>
    </row>
    <row r="16" spans="1:6" x14ac:dyDescent="0.2">
      <c r="A16" s="17">
        <v>46186</v>
      </c>
      <c r="B16" s="15">
        <v>785</v>
      </c>
      <c r="C16" s="14"/>
      <c r="F16" s="3"/>
    </row>
    <row r="17" spans="1:3" x14ac:dyDescent="0.2">
      <c r="A17" s="17">
        <v>46187</v>
      </c>
      <c r="B17" s="15">
        <v>277</v>
      </c>
      <c r="C17" s="14"/>
    </row>
    <row r="18" spans="1:3" x14ac:dyDescent="0.2">
      <c r="A18" s="17">
        <v>46188</v>
      </c>
      <c r="B18" s="15">
        <v>354</v>
      </c>
      <c r="C18" s="14"/>
    </row>
    <row r="19" spans="1:3" x14ac:dyDescent="0.2">
      <c r="A19" s="17">
        <v>46189</v>
      </c>
      <c r="B19" s="15">
        <v>153</v>
      </c>
      <c r="C19" s="13"/>
    </row>
    <row r="20" spans="1:3" x14ac:dyDescent="0.2">
      <c r="A20" s="17">
        <v>46190</v>
      </c>
      <c r="B20" s="15">
        <v>245</v>
      </c>
      <c r="C20" s="13"/>
    </row>
    <row r="21" spans="1:3" x14ac:dyDescent="0.2">
      <c r="A21" s="17">
        <v>46191</v>
      </c>
      <c r="B21" s="15">
        <v>160</v>
      </c>
      <c r="C21" s="13"/>
    </row>
    <row r="22" spans="1:3" x14ac:dyDescent="0.2">
      <c r="A22" s="17">
        <v>46192</v>
      </c>
      <c r="B22" s="15">
        <v>0</v>
      </c>
      <c r="C22" s="13"/>
    </row>
    <row r="23" spans="1:3" x14ac:dyDescent="0.2">
      <c r="A23" s="17">
        <v>46193</v>
      </c>
      <c r="B23" s="15">
        <v>670</v>
      </c>
      <c r="C23" s="13"/>
    </row>
    <row r="24" spans="1:3" x14ac:dyDescent="0.2">
      <c r="A24" s="17">
        <v>46194</v>
      </c>
      <c r="B24" s="15">
        <v>295</v>
      </c>
      <c r="C24" s="13"/>
    </row>
    <row r="25" spans="1:3" x14ac:dyDescent="0.2">
      <c r="A25" s="17">
        <v>46195</v>
      </c>
      <c r="B25" s="15">
        <v>0</v>
      </c>
      <c r="C25" s="13"/>
    </row>
    <row r="26" spans="1:3" x14ac:dyDescent="0.2">
      <c r="A26" s="17">
        <v>46196</v>
      </c>
      <c r="B26" s="15">
        <v>194</v>
      </c>
      <c r="C26" s="13"/>
    </row>
    <row r="27" spans="1:3" x14ac:dyDescent="0.2">
      <c r="A27" s="17">
        <v>46197</v>
      </c>
      <c r="B27" s="15">
        <v>145</v>
      </c>
      <c r="C27" s="13"/>
    </row>
    <row r="28" spans="1:3" x14ac:dyDescent="0.2">
      <c r="A28" s="17">
        <v>46198</v>
      </c>
      <c r="B28" s="15">
        <v>227</v>
      </c>
      <c r="C28" s="13"/>
    </row>
    <row r="29" spans="1:3" x14ac:dyDescent="0.2">
      <c r="A29" s="17">
        <v>46199</v>
      </c>
      <c r="B29" s="15">
        <v>1600</v>
      </c>
      <c r="C29" s="13"/>
    </row>
    <row r="30" spans="1:3" x14ac:dyDescent="0.2">
      <c r="A30" s="17">
        <v>46200</v>
      </c>
      <c r="B30" s="15">
        <v>0</v>
      </c>
      <c r="C30" s="13"/>
    </row>
    <row r="31" spans="1:3" x14ac:dyDescent="0.2">
      <c r="A31" s="17">
        <v>46201</v>
      </c>
      <c r="B31" s="15">
        <v>100</v>
      </c>
      <c r="C31" s="13"/>
    </row>
    <row r="32" spans="1:3" x14ac:dyDescent="0.2">
      <c r="A32" s="17">
        <v>46202</v>
      </c>
      <c r="B32" s="15">
        <v>140</v>
      </c>
      <c r="C32" s="13"/>
    </row>
    <row r="33" spans="1:3" x14ac:dyDescent="0.2">
      <c r="A33" s="17">
        <v>46203</v>
      </c>
      <c r="B33" s="15">
        <v>138</v>
      </c>
      <c r="C33" s="13"/>
    </row>
    <row r="34" spans="1:3" x14ac:dyDescent="0.2">
      <c r="A34" s="17"/>
      <c r="B34" s="15"/>
      <c r="C34" s="13"/>
    </row>
    <row r="35" spans="1:3" x14ac:dyDescent="0.2">
      <c r="A35" s="17" t="s">
        <v>119</v>
      </c>
      <c r="B35" s="15">
        <f>AVERAGE(B4:B34)</f>
        <v>364.53333333333336</v>
      </c>
      <c r="C35" s="13"/>
    </row>
    <row r="36" spans="1:3" x14ac:dyDescent="0.2">
      <c r="A36" s="1" t="s">
        <v>114</v>
      </c>
      <c r="B36" s="15">
        <f>SUM(B4:B33)</f>
        <v>10936</v>
      </c>
      <c r="C36">
        <f>SUM(C4:C35)</f>
        <v>9501</v>
      </c>
    </row>
    <row r="37" spans="1:3" x14ac:dyDescent="0.2">
      <c r="A37" s="1" t="s">
        <v>11</v>
      </c>
      <c r="B37" s="12">
        <f>B36-C36</f>
        <v>1435</v>
      </c>
    </row>
    <row r="38" spans="1:3" x14ac:dyDescent="0.2">
      <c r="A38" s="1" t="s">
        <v>91</v>
      </c>
      <c r="B38" s="12">
        <f>B37-15600+3174+7100</f>
        <v>-3891</v>
      </c>
    </row>
  </sheetData>
  <phoneticPr fontId="2" alignment="center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8D7A-71AD-9047-B92F-292CD3E4EFF8}">
  <dimension ref="A1:F40"/>
  <sheetViews>
    <sheetView zoomScaleNormal="100" zoomScaleSheetLayoutView="100" workbookViewId="0">
      <selection activeCell="B4" sqref="B4:B18"/>
    </sheetView>
  </sheetViews>
  <sheetFormatPr defaultRowHeight="15" x14ac:dyDescent="0.2"/>
  <cols>
    <col min="1" max="1" width="10.625" style="1" bestFit="1" customWidth="1"/>
    <col min="2" max="2" width="11.02734375" bestFit="1" customWidth="1"/>
    <col min="3" max="3" width="11.8359375" bestFit="1" customWidth="1"/>
    <col min="4" max="4" width="18.16015625" bestFit="1" customWidth="1"/>
  </cols>
  <sheetData>
    <row r="1" spans="1:6" x14ac:dyDescent="0.2">
      <c r="D1" s="4">
        <v>46143</v>
      </c>
    </row>
    <row r="3" spans="1:6" x14ac:dyDescent="0.2">
      <c r="A3" s="1" t="s">
        <v>111</v>
      </c>
      <c r="B3" s="13" t="s">
        <v>8</v>
      </c>
      <c r="C3" s="14" t="s">
        <v>10</v>
      </c>
      <c r="D3" t="s">
        <v>112</v>
      </c>
      <c r="E3" t="s">
        <v>1</v>
      </c>
    </row>
    <row r="4" spans="1:6" x14ac:dyDescent="0.2">
      <c r="A4" s="17">
        <v>46143</v>
      </c>
      <c r="B4" s="15">
        <v>859</v>
      </c>
      <c r="C4" s="14">
        <v>3744</v>
      </c>
      <c r="D4" t="s">
        <v>2</v>
      </c>
      <c r="E4" s="1" t="s">
        <v>0</v>
      </c>
    </row>
    <row r="5" spans="1:6" x14ac:dyDescent="0.2">
      <c r="A5" s="17">
        <v>46144</v>
      </c>
      <c r="B5" s="15">
        <v>116</v>
      </c>
      <c r="C5" s="14"/>
      <c r="D5" t="s">
        <v>108</v>
      </c>
      <c r="E5" t="s">
        <v>2</v>
      </c>
    </row>
    <row r="6" spans="1:6" x14ac:dyDescent="0.2">
      <c r="A6" s="17">
        <v>46145</v>
      </c>
      <c r="B6" s="15">
        <v>521</v>
      </c>
      <c r="C6" s="14"/>
      <c r="F6" s="12">
        <f>SUM(F3:F5)</f>
        <v>0</v>
      </c>
    </row>
    <row r="7" spans="1:6" x14ac:dyDescent="0.2">
      <c r="A7" s="17">
        <v>46146</v>
      </c>
      <c r="B7" s="15">
        <v>469</v>
      </c>
      <c r="C7" s="14">
        <v>250</v>
      </c>
      <c r="D7" t="s">
        <v>28</v>
      </c>
    </row>
    <row r="8" spans="1:6" x14ac:dyDescent="0.2">
      <c r="A8" s="17">
        <v>46147</v>
      </c>
      <c r="B8" s="15">
        <v>344</v>
      </c>
      <c r="C8" s="14">
        <v>89</v>
      </c>
      <c r="D8" t="s">
        <v>94</v>
      </c>
    </row>
    <row r="9" spans="1:6" x14ac:dyDescent="0.2">
      <c r="A9" s="17">
        <v>46148</v>
      </c>
      <c r="B9" s="15">
        <v>292</v>
      </c>
      <c r="C9" s="14">
        <v>107</v>
      </c>
      <c r="D9" t="s">
        <v>92</v>
      </c>
    </row>
    <row r="10" spans="1:6" x14ac:dyDescent="0.2">
      <c r="A10" s="17">
        <v>46149</v>
      </c>
      <c r="B10" s="15">
        <v>648</v>
      </c>
      <c r="C10" s="14">
        <v>201</v>
      </c>
      <c r="D10" t="s">
        <v>103</v>
      </c>
    </row>
    <row r="11" spans="1:6" x14ac:dyDescent="0.2">
      <c r="A11" s="17">
        <v>46150</v>
      </c>
      <c r="B11" s="15">
        <v>0</v>
      </c>
      <c r="C11" s="14"/>
      <c r="D11" t="s">
        <v>50</v>
      </c>
    </row>
    <row r="12" spans="1:6" x14ac:dyDescent="0.2">
      <c r="A12" s="17">
        <v>46151</v>
      </c>
      <c r="B12" s="15">
        <v>1270</v>
      </c>
      <c r="C12" s="14"/>
    </row>
    <row r="13" spans="1:6" x14ac:dyDescent="0.2">
      <c r="A13" s="17">
        <v>46152</v>
      </c>
      <c r="B13" s="16">
        <v>298</v>
      </c>
      <c r="C13" s="14"/>
    </row>
    <row r="14" spans="1:6" x14ac:dyDescent="0.2">
      <c r="A14" s="17">
        <v>46153</v>
      </c>
      <c r="B14" s="15">
        <v>462</v>
      </c>
      <c r="C14" s="14"/>
      <c r="D14" t="s">
        <v>110</v>
      </c>
    </row>
    <row r="15" spans="1:6" x14ac:dyDescent="0.2">
      <c r="A15" s="17">
        <v>46154</v>
      </c>
      <c r="B15" s="15">
        <v>449</v>
      </c>
      <c r="C15" s="14"/>
    </row>
    <row r="16" spans="1:6" x14ac:dyDescent="0.2">
      <c r="A16" s="17">
        <v>46155</v>
      </c>
      <c r="B16" s="15">
        <v>391</v>
      </c>
      <c r="C16" s="14"/>
      <c r="F16" s="3"/>
    </row>
    <row r="17" spans="1:3" x14ac:dyDescent="0.2">
      <c r="A17" s="17">
        <v>46156</v>
      </c>
      <c r="B17" s="15">
        <v>248</v>
      </c>
      <c r="C17" s="14"/>
    </row>
    <row r="18" spans="1:3" x14ac:dyDescent="0.2">
      <c r="A18" s="17">
        <v>46157</v>
      </c>
      <c r="B18" s="15">
        <v>166</v>
      </c>
      <c r="C18" s="14"/>
    </row>
    <row r="19" spans="1:3" x14ac:dyDescent="0.2">
      <c r="A19" s="17">
        <v>46158</v>
      </c>
      <c r="B19" s="15">
        <v>719</v>
      </c>
      <c r="C19" s="13"/>
    </row>
    <row r="20" spans="1:3" x14ac:dyDescent="0.2">
      <c r="A20" s="17">
        <v>46159</v>
      </c>
      <c r="B20" s="15">
        <v>0</v>
      </c>
      <c r="C20" s="13"/>
    </row>
    <row r="21" spans="1:3" x14ac:dyDescent="0.2">
      <c r="A21" s="17">
        <v>46160</v>
      </c>
      <c r="B21" s="15">
        <v>239</v>
      </c>
      <c r="C21" s="13"/>
    </row>
    <row r="22" spans="1:3" x14ac:dyDescent="0.2">
      <c r="A22" s="17">
        <v>46161</v>
      </c>
      <c r="B22" s="15">
        <v>235</v>
      </c>
      <c r="C22" s="13"/>
    </row>
    <row r="23" spans="1:3" x14ac:dyDescent="0.2">
      <c r="A23" s="17">
        <v>46162</v>
      </c>
      <c r="B23" s="15">
        <v>221</v>
      </c>
      <c r="C23" s="13"/>
    </row>
    <row r="24" spans="1:3" x14ac:dyDescent="0.2">
      <c r="A24" s="17">
        <v>46163</v>
      </c>
      <c r="B24" s="15">
        <v>296</v>
      </c>
      <c r="C24" s="13"/>
    </row>
    <row r="25" spans="1:3" x14ac:dyDescent="0.2">
      <c r="A25" s="17">
        <v>46164</v>
      </c>
      <c r="B25" s="15">
        <v>0</v>
      </c>
      <c r="C25" s="13"/>
    </row>
    <row r="26" spans="1:3" x14ac:dyDescent="0.2">
      <c r="A26" s="17">
        <v>46165</v>
      </c>
      <c r="B26" s="15">
        <v>702</v>
      </c>
      <c r="C26" s="13"/>
    </row>
    <row r="27" spans="1:3" x14ac:dyDescent="0.2">
      <c r="A27" s="17">
        <v>46166</v>
      </c>
      <c r="B27" s="15">
        <v>737</v>
      </c>
      <c r="C27" s="13"/>
    </row>
    <row r="28" spans="1:3" x14ac:dyDescent="0.2">
      <c r="A28" s="17">
        <v>46167</v>
      </c>
      <c r="B28" s="15">
        <v>513</v>
      </c>
      <c r="C28" s="13"/>
    </row>
    <row r="29" spans="1:3" x14ac:dyDescent="0.2">
      <c r="A29" s="17">
        <v>46168</v>
      </c>
      <c r="B29" s="15">
        <v>293</v>
      </c>
      <c r="C29" s="13"/>
    </row>
    <row r="30" spans="1:3" x14ac:dyDescent="0.2">
      <c r="A30" s="17">
        <v>46169</v>
      </c>
      <c r="B30" s="15">
        <v>343</v>
      </c>
      <c r="C30" s="13"/>
    </row>
    <row r="31" spans="1:3" x14ac:dyDescent="0.2">
      <c r="A31" s="17">
        <v>46170</v>
      </c>
      <c r="B31" s="15">
        <v>464</v>
      </c>
      <c r="C31" s="13"/>
    </row>
    <row r="32" spans="1:3" x14ac:dyDescent="0.2">
      <c r="A32" s="17">
        <v>46171</v>
      </c>
      <c r="B32" s="15">
        <v>276</v>
      </c>
      <c r="C32" s="13"/>
    </row>
    <row r="33" spans="1:3" x14ac:dyDescent="0.2">
      <c r="A33" s="17">
        <v>46172</v>
      </c>
      <c r="B33" s="15">
        <v>631</v>
      </c>
      <c r="C33" s="13"/>
    </row>
    <row r="34" spans="1:3" x14ac:dyDescent="0.2">
      <c r="A34" s="17">
        <v>46173</v>
      </c>
      <c r="B34" s="15">
        <v>625</v>
      </c>
      <c r="C34" s="13"/>
    </row>
    <row r="35" spans="1:3" x14ac:dyDescent="0.2">
      <c r="A35" s="17" t="s">
        <v>119</v>
      </c>
      <c r="B35" s="15">
        <f>AVERAGE(B4:B34)</f>
        <v>413.77419354838707</v>
      </c>
      <c r="C35" s="13"/>
    </row>
    <row r="36" spans="1:3" x14ac:dyDescent="0.2">
      <c r="A36" s="1" t="s">
        <v>114</v>
      </c>
      <c r="B36" s="15">
        <f>SUM(B4:B33)</f>
        <v>12202</v>
      </c>
      <c r="C36">
        <f>SUM(C4:C35)</f>
        <v>4391</v>
      </c>
    </row>
    <row r="37" spans="1:3" x14ac:dyDescent="0.2">
      <c r="A37" s="1" t="s">
        <v>11</v>
      </c>
      <c r="B37" s="12">
        <f>B36-C36</f>
        <v>7811</v>
      </c>
      <c r="C37" s="23"/>
    </row>
    <row r="38" spans="1:3" x14ac:dyDescent="0.2">
      <c r="B38" s="12"/>
    </row>
    <row r="39" spans="1:3" x14ac:dyDescent="0.2">
      <c r="B39" s="12"/>
    </row>
    <row r="40" spans="1:3" x14ac:dyDescent="0.2">
      <c r="B40" s="24"/>
    </row>
  </sheetData>
  <phoneticPr fontId="2" alignment="center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9116-2359-574B-A4CB-7B489D854192}">
  <dimension ref="A1:F37"/>
  <sheetViews>
    <sheetView zoomScaleNormal="100" zoomScaleSheetLayoutView="100" workbookViewId="0">
      <selection activeCell="D27" sqref="D27"/>
    </sheetView>
  </sheetViews>
  <sheetFormatPr defaultRowHeight="15" x14ac:dyDescent="0.2"/>
  <cols>
    <col min="1" max="1" width="11.02734375" style="1" bestFit="1" customWidth="1"/>
    <col min="2" max="3" width="11.02734375" bestFit="1" customWidth="1"/>
    <col min="4" max="4" width="18.16015625" bestFit="1" customWidth="1"/>
  </cols>
  <sheetData>
    <row r="1" spans="1:6" x14ac:dyDescent="0.2">
      <c r="D1" s="4">
        <v>46113</v>
      </c>
    </row>
    <row r="3" spans="1:6" x14ac:dyDescent="0.2">
      <c r="A3" s="1" t="s">
        <v>111</v>
      </c>
      <c r="B3" s="13" t="s">
        <v>8</v>
      </c>
      <c r="C3" s="14" t="s">
        <v>10</v>
      </c>
      <c r="D3" t="s">
        <v>112</v>
      </c>
      <c r="E3" t="s">
        <v>1</v>
      </c>
    </row>
    <row r="4" spans="1:6" x14ac:dyDescent="0.2">
      <c r="A4" s="17">
        <v>46113</v>
      </c>
      <c r="B4" s="15">
        <v>500</v>
      </c>
      <c r="C4" s="14">
        <v>4125</v>
      </c>
      <c r="D4" t="s">
        <v>2</v>
      </c>
      <c r="E4" s="1" t="s">
        <v>0</v>
      </c>
    </row>
    <row r="5" spans="1:6" x14ac:dyDescent="0.2">
      <c r="A5" s="17">
        <v>46114</v>
      </c>
      <c r="B5" s="15">
        <v>700</v>
      </c>
      <c r="C5" s="14">
        <v>296</v>
      </c>
      <c r="D5" t="s">
        <v>108</v>
      </c>
      <c r="E5" t="s">
        <v>2</v>
      </c>
    </row>
    <row r="6" spans="1:6" x14ac:dyDescent="0.2">
      <c r="A6" s="17">
        <v>46115</v>
      </c>
      <c r="B6" s="15">
        <v>1330</v>
      </c>
      <c r="C6" s="14"/>
      <c r="F6" s="12">
        <f>SUM(F3:F5)-50</f>
        <v>-50</v>
      </c>
    </row>
    <row r="7" spans="1:6" x14ac:dyDescent="0.2">
      <c r="A7" s="17">
        <v>46116</v>
      </c>
      <c r="B7" s="15">
        <v>1671</v>
      </c>
      <c r="C7" s="14">
        <v>748</v>
      </c>
      <c r="D7" t="s">
        <v>28</v>
      </c>
    </row>
    <row r="8" spans="1:6" x14ac:dyDescent="0.2">
      <c r="A8" s="17">
        <v>46117</v>
      </c>
      <c r="B8" s="15">
        <v>0</v>
      </c>
      <c r="C8" s="14">
        <v>89</v>
      </c>
      <c r="D8" t="s">
        <v>94</v>
      </c>
    </row>
    <row r="9" spans="1:6" x14ac:dyDescent="0.2">
      <c r="A9" s="17">
        <v>46118</v>
      </c>
      <c r="B9" s="15">
        <v>625</v>
      </c>
      <c r="C9" s="14">
        <v>100</v>
      </c>
      <c r="D9" t="s">
        <v>92</v>
      </c>
    </row>
    <row r="10" spans="1:6" x14ac:dyDescent="0.2">
      <c r="A10" s="17">
        <v>46119</v>
      </c>
      <c r="B10" s="15">
        <v>334</v>
      </c>
      <c r="C10" s="14">
        <v>233</v>
      </c>
      <c r="D10" t="s">
        <v>103</v>
      </c>
    </row>
    <row r="11" spans="1:6" x14ac:dyDescent="0.2">
      <c r="A11" s="17">
        <v>46120</v>
      </c>
      <c r="B11" s="15">
        <v>454</v>
      </c>
      <c r="C11" s="14"/>
      <c r="D11" t="s">
        <v>101</v>
      </c>
    </row>
    <row r="12" spans="1:6" x14ac:dyDescent="0.2">
      <c r="A12" s="17">
        <v>46121</v>
      </c>
      <c r="B12" s="15">
        <v>373</v>
      </c>
      <c r="C12" s="14">
        <v>50</v>
      </c>
      <c r="D12" t="s">
        <v>109</v>
      </c>
    </row>
    <row r="13" spans="1:6" x14ac:dyDescent="0.2">
      <c r="A13" s="17">
        <v>46122</v>
      </c>
      <c r="B13" s="16">
        <v>615</v>
      </c>
      <c r="C13" s="14"/>
    </row>
    <row r="14" spans="1:6" x14ac:dyDescent="0.2">
      <c r="A14" s="17">
        <v>46123</v>
      </c>
      <c r="B14" s="15">
        <v>1265</v>
      </c>
      <c r="C14" s="14"/>
      <c r="D14" t="s">
        <v>110</v>
      </c>
    </row>
    <row r="15" spans="1:6" x14ac:dyDescent="0.2">
      <c r="A15" s="17">
        <v>46124</v>
      </c>
      <c r="B15" s="15">
        <v>0</v>
      </c>
      <c r="C15" s="14"/>
    </row>
    <row r="16" spans="1:6" x14ac:dyDescent="0.2">
      <c r="A16" s="17">
        <v>46125</v>
      </c>
      <c r="B16" s="15">
        <v>720</v>
      </c>
      <c r="C16" s="14"/>
      <c r="F16" s="3"/>
    </row>
    <row r="17" spans="1:3" x14ac:dyDescent="0.2">
      <c r="A17" s="17">
        <v>46126</v>
      </c>
      <c r="B17" s="15">
        <v>437</v>
      </c>
      <c r="C17" s="14"/>
    </row>
    <row r="18" spans="1:3" x14ac:dyDescent="0.2">
      <c r="A18" s="17">
        <v>46127</v>
      </c>
      <c r="B18" s="15">
        <v>227</v>
      </c>
      <c r="C18" s="14"/>
    </row>
    <row r="19" spans="1:3" x14ac:dyDescent="0.2">
      <c r="A19" s="17">
        <v>46128</v>
      </c>
      <c r="B19" s="15">
        <v>331</v>
      </c>
      <c r="C19" s="13"/>
    </row>
    <row r="20" spans="1:3" x14ac:dyDescent="0.2">
      <c r="A20" s="17">
        <v>46129</v>
      </c>
      <c r="B20" s="15">
        <v>526</v>
      </c>
      <c r="C20" s="13"/>
    </row>
    <row r="21" spans="1:3" x14ac:dyDescent="0.2">
      <c r="A21" s="17">
        <v>46130</v>
      </c>
      <c r="B21" s="15">
        <v>1071</v>
      </c>
      <c r="C21" s="13"/>
    </row>
    <row r="22" spans="1:3" x14ac:dyDescent="0.2">
      <c r="A22" s="17">
        <v>46131</v>
      </c>
      <c r="B22" s="15">
        <v>767</v>
      </c>
      <c r="C22" s="13"/>
    </row>
    <row r="23" spans="1:3" x14ac:dyDescent="0.2">
      <c r="A23" s="17">
        <v>46132</v>
      </c>
      <c r="B23" s="15">
        <v>886</v>
      </c>
      <c r="C23" s="13"/>
    </row>
    <row r="24" spans="1:3" x14ac:dyDescent="0.2">
      <c r="A24" s="17">
        <v>46133</v>
      </c>
      <c r="B24" s="15">
        <v>550</v>
      </c>
      <c r="C24" s="13"/>
    </row>
    <row r="25" spans="1:3" x14ac:dyDescent="0.2">
      <c r="A25" s="17">
        <v>46134</v>
      </c>
      <c r="B25" s="15">
        <v>415</v>
      </c>
      <c r="C25" s="13"/>
    </row>
    <row r="26" spans="1:3" x14ac:dyDescent="0.2">
      <c r="A26" s="17">
        <v>46135</v>
      </c>
      <c r="B26" s="15">
        <v>395</v>
      </c>
      <c r="C26" s="13"/>
    </row>
    <row r="27" spans="1:3" x14ac:dyDescent="0.2">
      <c r="A27" s="17">
        <v>46136</v>
      </c>
      <c r="B27" s="15">
        <v>0</v>
      </c>
      <c r="C27" s="13"/>
    </row>
    <row r="28" spans="1:3" x14ac:dyDescent="0.2">
      <c r="A28" s="17">
        <v>46137</v>
      </c>
      <c r="B28" s="15">
        <v>0</v>
      </c>
      <c r="C28" s="13"/>
    </row>
    <row r="29" spans="1:3" x14ac:dyDescent="0.2">
      <c r="A29" s="17">
        <v>46138</v>
      </c>
      <c r="B29" s="15">
        <v>0</v>
      </c>
      <c r="C29" s="13"/>
    </row>
    <row r="30" spans="1:3" x14ac:dyDescent="0.2">
      <c r="A30" s="17">
        <v>46139</v>
      </c>
      <c r="B30" s="15">
        <v>100</v>
      </c>
      <c r="C30" s="13"/>
    </row>
    <row r="31" spans="1:3" x14ac:dyDescent="0.2">
      <c r="A31" s="17">
        <v>46140</v>
      </c>
      <c r="B31" s="15">
        <v>156</v>
      </c>
      <c r="C31" s="13"/>
    </row>
    <row r="32" spans="1:3" x14ac:dyDescent="0.2">
      <c r="A32" s="17">
        <v>46141</v>
      </c>
      <c r="B32" s="15">
        <v>0</v>
      </c>
      <c r="C32" s="13"/>
    </row>
    <row r="33" spans="1:3" x14ac:dyDescent="0.2">
      <c r="A33" s="17">
        <v>46142</v>
      </c>
      <c r="B33" s="15">
        <v>516</v>
      </c>
      <c r="C33" s="13"/>
    </row>
    <row r="34" spans="1:3" x14ac:dyDescent="0.2">
      <c r="A34" s="17" t="s">
        <v>113</v>
      </c>
      <c r="B34" s="15">
        <f>AVERAGE(B4:B33)</f>
        <v>498.8</v>
      </c>
      <c r="C34" s="13"/>
    </row>
    <row r="35" spans="1:3" x14ac:dyDescent="0.2">
      <c r="A35" s="1" t="s">
        <v>114</v>
      </c>
      <c r="B35" s="15">
        <f>SUM(B4:B33)</f>
        <v>14964</v>
      </c>
      <c r="C35">
        <f>SUM(C4:C34)</f>
        <v>5641</v>
      </c>
    </row>
    <row r="36" spans="1:3" x14ac:dyDescent="0.2">
      <c r="A36" s="1" t="s">
        <v>11</v>
      </c>
      <c r="B36" s="12">
        <f>B35-C35-B65</f>
        <v>9323</v>
      </c>
    </row>
    <row r="37" spans="1:3" x14ac:dyDescent="0.2">
      <c r="B37" s="12"/>
    </row>
  </sheetData>
  <phoneticPr fontId="2" alignment="center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A5D9-616A-1C4B-B1F2-8EC17F1EB82C}">
  <dimension ref="A1:F36"/>
  <sheetViews>
    <sheetView zoomScaleNormal="100" zoomScaleSheetLayoutView="100" workbookViewId="0">
      <selection activeCell="E28" sqref="E28"/>
    </sheetView>
  </sheetViews>
  <sheetFormatPr defaultRowHeight="15" x14ac:dyDescent="0.2"/>
  <sheetData>
    <row r="1" spans="1:6" x14ac:dyDescent="0.2">
      <c r="D1" s="4">
        <v>46082</v>
      </c>
    </row>
    <row r="2" spans="1:6" x14ac:dyDescent="0.2">
      <c r="B2" t="s">
        <v>8</v>
      </c>
      <c r="C2" t="s">
        <v>10</v>
      </c>
    </row>
    <row r="3" spans="1:6" x14ac:dyDescent="0.2">
      <c r="A3">
        <v>1</v>
      </c>
      <c r="B3">
        <v>844</v>
      </c>
      <c r="C3" s="2">
        <v>5176</v>
      </c>
      <c r="D3" t="s">
        <v>2</v>
      </c>
      <c r="E3" t="s">
        <v>1</v>
      </c>
    </row>
    <row r="4" spans="1:6" x14ac:dyDescent="0.2">
      <c r="A4">
        <v>2</v>
      </c>
      <c r="B4">
        <v>321</v>
      </c>
      <c r="C4" s="2"/>
      <c r="E4" s="1" t="s">
        <v>0</v>
      </c>
    </row>
    <row r="5" spans="1:6" x14ac:dyDescent="0.2">
      <c r="A5">
        <v>3</v>
      </c>
      <c r="B5">
        <v>414</v>
      </c>
      <c r="C5" s="2"/>
      <c r="E5" t="s">
        <v>2</v>
      </c>
    </row>
    <row r="6" spans="1:6" x14ac:dyDescent="0.2">
      <c r="A6">
        <v>4</v>
      </c>
      <c r="B6">
        <v>486</v>
      </c>
      <c r="C6" s="2">
        <v>616</v>
      </c>
      <c r="D6" t="s">
        <v>28</v>
      </c>
      <c r="F6" s="12">
        <f>SUM(F3:F5)</f>
        <v>0</v>
      </c>
    </row>
    <row r="7" spans="1:6" x14ac:dyDescent="0.2">
      <c r="A7">
        <v>5</v>
      </c>
      <c r="B7">
        <v>336</v>
      </c>
      <c r="C7" s="2">
        <v>85</v>
      </c>
      <c r="D7" t="s">
        <v>94</v>
      </c>
    </row>
    <row r="8" spans="1:6" x14ac:dyDescent="0.2">
      <c r="A8">
        <v>6</v>
      </c>
      <c r="B8">
        <v>765</v>
      </c>
      <c r="C8" s="2">
        <v>100</v>
      </c>
      <c r="D8" t="s">
        <v>92</v>
      </c>
    </row>
    <row r="9" spans="1:6" x14ac:dyDescent="0.2">
      <c r="A9">
        <v>7</v>
      </c>
      <c r="B9">
        <v>1709</v>
      </c>
      <c r="C9" s="2">
        <v>57</v>
      </c>
      <c r="D9" t="s">
        <v>103</v>
      </c>
    </row>
    <row r="10" spans="1:6" x14ac:dyDescent="0.2">
      <c r="A10">
        <v>8</v>
      </c>
      <c r="B10">
        <v>264</v>
      </c>
      <c r="C10" s="2"/>
      <c r="D10" t="s">
        <v>101</v>
      </c>
    </row>
    <row r="11" spans="1:6" x14ac:dyDescent="0.2">
      <c r="A11">
        <v>9</v>
      </c>
      <c r="B11">
        <v>659</v>
      </c>
      <c r="C11" s="2"/>
    </row>
    <row r="12" spans="1:6" x14ac:dyDescent="0.2">
      <c r="A12">
        <v>10</v>
      </c>
      <c r="B12" s="10">
        <v>756</v>
      </c>
      <c r="C12" s="2"/>
    </row>
    <row r="13" spans="1:6" x14ac:dyDescent="0.2">
      <c r="A13">
        <v>11</v>
      </c>
      <c r="B13">
        <v>264</v>
      </c>
      <c r="C13" s="2"/>
      <c r="D13" t="s">
        <v>107</v>
      </c>
    </row>
    <row r="14" spans="1:6" x14ac:dyDescent="0.2">
      <c r="A14">
        <v>12</v>
      </c>
      <c r="B14">
        <v>522</v>
      </c>
      <c r="C14" s="2"/>
    </row>
    <row r="15" spans="1:6" x14ac:dyDescent="0.2">
      <c r="A15">
        <v>13</v>
      </c>
      <c r="B15">
        <v>303</v>
      </c>
      <c r="C15" s="2"/>
    </row>
    <row r="16" spans="1:6" x14ac:dyDescent="0.2">
      <c r="A16">
        <v>14</v>
      </c>
      <c r="B16">
        <v>1442</v>
      </c>
      <c r="C16" s="2"/>
      <c r="F16" s="3"/>
    </row>
    <row r="17" spans="1:3" x14ac:dyDescent="0.2">
      <c r="A17">
        <v>15</v>
      </c>
      <c r="B17">
        <v>623</v>
      </c>
      <c r="C17" s="2"/>
    </row>
    <row r="18" spans="1:3" x14ac:dyDescent="0.2">
      <c r="A18">
        <v>16</v>
      </c>
      <c r="B18">
        <v>345</v>
      </c>
    </row>
    <row r="19" spans="1:3" x14ac:dyDescent="0.2">
      <c r="A19">
        <v>17</v>
      </c>
      <c r="B19">
        <v>255</v>
      </c>
    </row>
    <row r="20" spans="1:3" x14ac:dyDescent="0.2">
      <c r="A20">
        <v>18</v>
      </c>
      <c r="B20">
        <v>364</v>
      </c>
    </row>
    <row r="21" spans="1:3" x14ac:dyDescent="0.2">
      <c r="A21">
        <v>19</v>
      </c>
      <c r="B21">
        <v>394</v>
      </c>
    </row>
    <row r="22" spans="1:3" x14ac:dyDescent="0.2">
      <c r="A22">
        <v>20</v>
      </c>
      <c r="B22">
        <v>644</v>
      </c>
    </row>
    <row r="23" spans="1:3" x14ac:dyDescent="0.2">
      <c r="A23">
        <v>21</v>
      </c>
      <c r="B23">
        <v>794</v>
      </c>
    </row>
    <row r="24" spans="1:3" x14ac:dyDescent="0.2">
      <c r="A24">
        <v>22</v>
      </c>
      <c r="B24">
        <v>363</v>
      </c>
    </row>
    <row r="25" spans="1:3" x14ac:dyDescent="0.2">
      <c r="A25">
        <v>23</v>
      </c>
      <c r="B25">
        <v>373</v>
      </c>
    </row>
    <row r="26" spans="1:3" x14ac:dyDescent="0.2">
      <c r="A26">
        <v>24</v>
      </c>
      <c r="B26">
        <v>496</v>
      </c>
    </row>
    <row r="27" spans="1:3" x14ac:dyDescent="0.2">
      <c r="A27">
        <v>25</v>
      </c>
      <c r="B27">
        <v>513</v>
      </c>
    </row>
    <row r="28" spans="1:3" x14ac:dyDescent="0.2">
      <c r="A28">
        <v>26</v>
      </c>
      <c r="B28">
        <v>449</v>
      </c>
    </row>
    <row r="29" spans="1:3" x14ac:dyDescent="0.2">
      <c r="A29">
        <v>27</v>
      </c>
      <c r="B29">
        <v>550</v>
      </c>
    </row>
    <row r="30" spans="1:3" x14ac:dyDescent="0.2">
      <c r="A30">
        <v>28</v>
      </c>
      <c r="B30">
        <v>1159</v>
      </c>
    </row>
    <row r="31" spans="1:3" x14ac:dyDescent="0.2">
      <c r="A31">
        <v>29</v>
      </c>
      <c r="B31">
        <v>1101</v>
      </c>
    </row>
    <row r="32" spans="1:3" x14ac:dyDescent="0.2">
      <c r="A32">
        <v>30</v>
      </c>
      <c r="B32">
        <v>531</v>
      </c>
    </row>
    <row r="33" spans="1:3" x14ac:dyDescent="0.2">
      <c r="A33">
        <v>31</v>
      </c>
      <c r="B33">
        <v>19</v>
      </c>
    </row>
    <row r="34" spans="1:3" x14ac:dyDescent="0.2">
      <c r="A34" t="s">
        <v>9</v>
      </c>
      <c r="B34">
        <f>SUM(B3:B33)</f>
        <v>18058</v>
      </c>
      <c r="C34">
        <f>SUM(C3:C33)</f>
        <v>6034</v>
      </c>
    </row>
    <row r="35" spans="1:3" x14ac:dyDescent="0.2">
      <c r="A35" t="s">
        <v>11</v>
      </c>
      <c r="B35" s="12">
        <f>B34-C34-B64+F6</f>
        <v>12024</v>
      </c>
    </row>
    <row r="36" spans="1:3" x14ac:dyDescent="0.2">
      <c r="A36" t="s">
        <v>91</v>
      </c>
      <c r="B36" s="12">
        <f>B35-17100</f>
        <v>-5076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DE06-7828-3F46-AEFB-9AB446C79E1B}">
  <dimension ref="A1:F36"/>
  <sheetViews>
    <sheetView zoomScaleNormal="100" zoomScaleSheetLayoutView="100" workbookViewId="0">
      <selection activeCell="F3" sqref="F3"/>
    </sheetView>
  </sheetViews>
  <sheetFormatPr defaultRowHeight="15" x14ac:dyDescent="0.2"/>
  <sheetData>
    <row r="1" spans="1:6" x14ac:dyDescent="0.2">
      <c r="D1" s="4">
        <v>46054</v>
      </c>
    </row>
    <row r="2" spans="1:6" x14ac:dyDescent="0.2">
      <c r="B2" t="s">
        <v>8</v>
      </c>
      <c r="C2" t="s">
        <v>10</v>
      </c>
    </row>
    <row r="3" spans="1:6" x14ac:dyDescent="0.2">
      <c r="A3">
        <v>1</v>
      </c>
      <c r="B3">
        <v>0</v>
      </c>
      <c r="C3" s="2">
        <v>4871</v>
      </c>
      <c r="D3" t="s">
        <v>2</v>
      </c>
      <c r="E3" t="s">
        <v>1</v>
      </c>
    </row>
    <row r="4" spans="1:6" x14ac:dyDescent="0.2">
      <c r="A4">
        <v>2</v>
      </c>
      <c r="B4">
        <v>980</v>
      </c>
      <c r="C4" s="2">
        <v>476</v>
      </c>
      <c r="D4" t="s">
        <v>102</v>
      </c>
      <c r="E4" s="1" t="s">
        <v>0</v>
      </c>
    </row>
    <row r="5" spans="1:6" x14ac:dyDescent="0.2">
      <c r="A5">
        <v>3</v>
      </c>
      <c r="B5">
        <v>0</v>
      </c>
      <c r="C5" s="2"/>
      <c r="E5" t="s">
        <v>2</v>
      </c>
    </row>
    <row r="6" spans="1:6" x14ac:dyDescent="0.2">
      <c r="A6">
        <v>4</v>
      </c>
      <c r="B6">
        <v>1081</v>
      </c>
      <c r="C6" s="2">
        <v>730</v>
      </c>
      <c r="D6" t="s">
        <v>28</v>
      </c>
      <c r="F6" s="12">
        <f>SUM(F3:F5)</f>
        <v>0</v>
      </c>
    </row>
    <row r="7" spans="1:6" x14ac:dyDescent="0.2">
      <c r="A7">
        <v>5</v>
      </c>
      <c r="B7">
        <v>889</v>
      </c>
      <c r="C7" s="2">
        <v>85</v>
      </c>
      <c r="D7" t="s">
        <v>94</v>
      </c>
    </row>
    <row r="8" spans="1:6" x14ac:dyDescent="0.2">
      <c r="A8">
        <v>6</v>
      </c>
      <c r="B8">
        <v>887</v>
      </c>
      <c r="C8" s="2">
        <v>100</v>
      </c>
      <c r="D8" t="s">
        <v>92</v>
      </c>
    </row>
    <row r="9" spans="1:6" x14ac:dyDescent="0.2">
      <c r="A9">
        <v>7</v>
      </c>
      <c r="B9">
        <v>1344</v>
      </c>
      <c r="C9" s="2">
        <v>78</v>
      </c>
      <c r="D9" t="s">
        <v>103</v>
      </c>
    </row>
    <row r="10" spans="1:6" x14ac:dyDescent="0.2">
      <c r="A10">
        <v>8</v>
      </c>
      <c r="B10">
        <v>1319</v>
      </c>
      <c r="C10" s="2"/>
      <c r="D10" t="s">
        <v>101</v>
      </c>
    </row>
    <row r="11" spans="1:6" x14ac:dyDescent="0.2">
      <c r="A11">
        <v>9</v>
      </c>
      <c r="B11">
        <v>845</v>
      </c>
      <c r="C11" s="2"/>
    </row>
    <row r="12" spans="1:6" x14ac:dyDescent="0.2">
      <c r="A12">
        <v>10</v>
      </c>
      <c r="B12" s="10">
        <v>474</v>
      </c>
      <c r="C12" s="2"/>
    </row>
    <row r="13" spans="1:6" x14ac:dyDescent="0.2">
      <c r="A13">
        <v>11</v>
      </c>
      <c r="B13">
        <v>808</v>
      </c>
      <c r="C13" s="2"/>
    </row>
    <row r="14" spans="1:6" x14ac:dyDescent="0.2">
      <c r="A14">
        <v>12</v>
      </c>
      <c r="B14">
        <v>655</v>
      </c>
      <c r="C14" s="2"/>
    </row>
    <row r="15" spans="1:6" x14ac:dyDescent="0.2">
      <c r="A15">
        <v>13</v>
      </c>
      <c r="B15">
        <v>481</v>
      </c>
      <c r="C15" s="2"/>
    </row>
    <row r="16" spans="1:6" x14ac:dyDescent="0.2">
      <c r="A16">
        <v>14</v>
      </c>
      <c r="B16">
        <v>1227</v>
      </c>
      <c r="C16" s="2"/>
      <c r="F16" s="3"/>
    </row>
    <row r="17" spans="1:3" x14ac:dyDescent="0.2">
      <c r="A17">
        <v>15</v>
      </c>
      <c r="B17">
        <v>972</v>
      </c>
      <c r="C17" s="2"/>
    </row>
    <row r="18" spans="1:3" x14ac:dyDescent="0.2">
      <c r="A18">
        <v>16</v>
      </c>
      <c r="B18">
        <v>944</v>
      </c>
    </row>
    <row r="19" spans="1:3" x14ac:dyDescent="0.2">
      <c r="A19">
        <v>17</v>
      </c>
      <c r="B19">
        <v>982</v>
      </c>
    </row>
    <row r="20" spans="1:3" x14ac:dyDescent="0.2">
      <c r="A20">
        <v>18</v>
      </c>
      <c r="B20">
        <v>653</v>
      </c>
    </row>
    <row r="21" spans="1:3" x14ac:dyDescent="0.2">
      <c r="A21">
        <v>19</v>
      </c>
      <c r="B21">
        <v>608</v>
      </c>
    </row>
    <row r="22" spans="1:3" x14ac:dyDescent="0.2">
      <c r="A22">
        <v>20</v>
      </c>
      <c r="B22">
        <v>451</v>
      </c>
    </row>
    <row r="23" spans="1:3" x14ac:dyDescent="0.2">
      <c r="A23">
        <v>21</v>
      </c>
      <c r="B23">
        <v>995</v>
      </c>
    </row>
    <row r="24" spans="1:3" x14ac:dyDescent="0.2">
      <c r="A24">
        <v>22</v>
      </c>
      <c r="B24">
        <v>797</v>
      </c>
    </row>
    <row r="25" spans="1:3" x14ac:dyDescent="0.2">
      <c r="A25">
        <v>23</v>
      </c>
      <c r="B25">
        <v>626</v>
      </c>
    </row>
    <row r="26" spans="1:3" x14ac:dyDescent="0.2">
      <c r="A26">
        <v>24</v>
      </c>
      <c r="B26">
        <v>302</v>
      </c>
    </row>
    <row r="27" spans="1:3" x14ac:dyDescent="0.2">
      <c r="A27">
        <v>25</v>
      </c>
      <c r="B27">
        <v>644</v>
      </c>
    </row>
    <row r="28" spans="1:3" x14ac:dyDescent="0.2">
      <c r="A28">
        <v>26</v>
      </c>
      <c r="B28">
        <v>502</v>
      </c>
    </row>
    <row r="29" spans="1:3" x14ac:dyDescent="0.2">
      <c r="A29">
        <v>27</v>
      </c>
      <c r="B29">
        <v>427</v>
      </c>
    </row>
    <row r="30" spans="1:3" x14ac:dyDescent="0.2">
      <c r="A30">
        <v>28</v>
      </c>
      <c r="B30">
        <v>1506</v>
      </c>
    </row>
    <row r="34" spans="1:3" x14ac:dyDescent="0.2">
      <c r="A34" t="s">
        <v>9</v>
      </c>
      <c r="B34">
        <f>SUM(B3:B33)</f>
        <v>21399</v>
      </c>
      <c r="C34">
        <f>SUM(C3:C33)</f>
        <v>6340</v>
      </c>
    </row>
    <row r="35" spans="1:3" x14ac:dyDescent="0.2">
      <c r="A35" t="s">
        <v>11</v>
      </c>
      <c r="B35" s="12">
        <f>B34-C34-B64+F6</f>
        <v>15059</v>
      </c>
    </row>
    <row r="36" spans="1:3" x14ac:dyDescent="0.2">
      <c r="A36" t="s">
        <v>91</v>
      </c>
      <c r="B36" s="12">
        <f>B35-17200</f>
        <v>-2141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801D-4988-8443-8EC5-D4887B239E30}">
  <dimension ref="A1:F36"/>
  <sheetViews>
    <sheetView zoomScaleNormal="100" zoomScaleSheetLayoutView="100" workbookViewId="0">
      <selection activeCell="F7" sqref="F7"/>
    </sheetView>
  </sheetViews>
  <sheetFormatPr defaultRowHeight="15" x14ac:dyDescent="0.2"/>
  <sheetData>
    <row r="1" spans="1:6" x14ac:dyDescent="0.2">
      <c r="D1" s="4">
        <v>46023</v>
      </c>
      <c r="F1" t="s">
        <v>100</v>
      </c>
    </row>
    <row r="2" spans="1:6" x14ac:dyDescent="0.2">
      <c r="B2" t="s">
        <v>8</v>
      </c>
      <c r="C2" t="s">
        <v>10</v>
      </c>
    </row>
    <row r="3" spans="1:6" x14ac:dyDescent="0.2">
      <c r="A3">
        <v>1</v>
      </c>
      <c r="B3">
        <v>0</v>
      </c>
      <c r="C3" s="2">
        <v>5787</v>
      </c>
      <c r="D3" t="s">
        <v>2</v>
      </c>
      <c r="E3" t="s">
        <v>1</v>
      </c>
    </row>
    <row r="4" spans="1:6" x14ac:dyDescent="0.2">
      <c r="A4">
        <v>2</v>
      </c>
      <c r="B4">
        <v>0</v>
      </c>
      <c r="C4" s="2"/>
      <c r="E4" s="1" t="s">
        <v>0</v>
      </c>
    </row>
    <row r="5" spans="1:6" x14ac:dyDescent="0.2">
      <c r="A5">
        <v>3</v>
      </c>
      <c r="B5">
        <v>928</v>
      </c>
      <c r="C5" s="2">
        <v>403</v>
      </c>
      <c r="D5" t="s">
        <v>99</v>
      </c>
      <c r="E5" t="s">
        <v>2</v>
      </c>
    </row>
    <row r="6" spans="1:6" x14ac:dyDescent="0.2">
      <c r="A6">
        <v>4</v>
      </c>
      <c r="B6">
        <v>802</v>
      </c>
      <c r="C6" s="2">
        <v>654</v>
      </c>
      <c r="D6" t="s">
        <v>28</v>
      </c>
      <c r="F6" s="12">
        <f>SUM(F3:F5)</f>
        <v>0</v>
      </c>
    </row>
    <row r="7" spans="1:6" x14ac:dyDescent="0.2">
      <c r="A7">
        <v>5</v>
      </c>
      <c r="B7">
        <v>957</v>
      </c>
      <c r="C7" s="2">
        <v>83</v>
      </c>
      <c r="D7" t="s">
        <v>94</v>
      </c>
    </row>
    <row r="8" spans="1:6" x14ac:dyDescent="0.2">
      <c r="A8">
        <v>6</v>
      </c>
      <c r="B8">
        <v>885</v>
      </c>
      <c r="C8" s="2">
        <v>100</v>
      </c>
      <c r="D8" t="s">
        <v>92</v>
      </c>
    </row>
    <row r="9" spans="1:6" x14ac:dyDescent="0.2">
      <c r="A9">
        <v>7</v>
      </c>
      <c r="B9">
        <v>1079</v>
      </c>
      <c r="C9" s="2">
        <v>482</v>
      </c>
      <c r="D9" t="s">
        <v>103</v>
      </c>
    </row>
    <row r="10" spans="1:6" x14ac:dyDescent="0.2">
      <c r="A10">
        <v>8</v>
      </c>
      <c r="B10">
        <v>1424</v>
      </c>
      <c r="C10" s="2">
        <v>466</v>
      </c>
      <c r="D10" t="s">
        <v>101</v>
      </c>
    </row>
    <row r="11" spans="1:6" x14ac:dyDescent="0.2">
      <c r="A11">
        <v>9</v>
      </c>
      <c r="B11">
        <v>1025</v>
      </c>
      <c r="C11" s="2">
        <v>225</v>
      </c>
      <c r="D11" t="s">
        <v>24</v>
      </c>
    </row>
    <row r="12" spans="1:6" x14ac:dyDescent="0.2">
      <c r="A12">
        <v>10</v>
      </c>
      <c r="B12" s="10">
        <v>0</v>
      </c>
      <c r="C12" s="2">
        <v>45</v>
      </c>
      <c r="D12" t="s">
        <v>104</v>
      </c>
    </row>
    <row r="13" spans="1:6" x14ac:dyDescent="0.2">
      <c r="A13">
        <v>11</v>
      </c>
      <c r="B13">
        <v>1054</v>
      </c>
      <c r="C13" s="2">
        <v>130</v>
      </c>
      <c r="D13" t="s">
        <v>105</v>
      </c>
    </row>
    <row r="14" spans="1:6" x14ac:dyDescent="0.2">
      <c r="A14">
        <v>12</v>
      </c>
      <c r="B14">
        <v>1169</v>
      </c>
      <c r="C14" s="2">
        <v>50</v>
      </c>
      <c r="D14" t="s">
        <v>106</v>
      </c>
    </row>
    <row r="15" spans="1:6" x14ac:dyDescent="0.2">
      <c r="A15">
        <v>13</v>
      </c>
      <c r="B15">
        <v>1126</v>
      </c>
      <c r="C15" s="2"/>
    </row>
    <row r="16" spans="1:6" x14ac:dyDescent="0.2">
      <c r="A16">
        <v>14</v>
      </c>
      <c r="B16">
        <v>1017</v>
      </c>
      <c r="C16" s="2"/>
      <c r="F16" s="3"/>
    </row>
    <row r="17" spans="1:3" x14ac:dyDescent="0.2">
      <c r="A17">
        <v>15</v>
      </c>
      <c r="B17">
        <v>844</v>
      </c>
      <c r="C17" s="2"/>
    </row>
    <row r="18" spans="1:3" x14ac:dyDescent="0.2">
      <c r="A18">
        <v>16</v>
      </c>
      <c r="B18">
        <v>994</v>
      </c>
    </row>
    <row r="19" spans="1:3" x14ac:dyDescent="0.2">
      <c r="A19">
        <v>17</v>
      </c>
      <c r="B19">
        <v>997</v>
      </c>
    </row>
    <row r="20" spans="1:3" x14ac:dyDescent="0.2">
      <c r="A20">
        <v>18</v>
      </c>
      <c r="B20">
        <v>981</v>
      </c>
    </row>
    <row r="21" spans="1:3" x14ac:dyDescent="0.2">
      <c r="A21">
        <v>19</v>
      </c>
      <c r="B21">
        <v>862</v>
      </c>
    </row>
    <row r="22" spans="1:3" x14ac:dyDescent="0.2">
      <c r="A22">
        <v>20</v>
      </c>
      <c r="B22">
        <v>846</v>
      </c>
    </row>
    <row r="23" spans="1:3" x14ac:dyDescent="0.2">
      <c r="A23">
        <v>21</v>
      </c>
      <c r="B23">
        <v>831</v>
      </c>
    </row>
    <row r="24" spans="1:3" x14ac:dyDescent="0.2">
      <c r="A24">
        <v>22</v>
      </c>
      <c r="B24">
        <v>674</v>
      </c>
    </row>
    <row r="25" spans="1:3" x14ac:dyDescent="0.2">
      <c r="A25">
        <v>23</v>
      </c>
      <c r="B25">
        <v>423</v>
      </c>
    </row>
    <row r="26" spans="1:3" x14ac:dyDescent="0.2">
      <c r="A26">
        <v>24</v>
      </c>
      <c r="B26">
        <v>1467</v>
      </c>
    </row>
    <row r="27" spans="1:3" x14ac:dyDescent="0.2">
      <c r="A27">
        <v>25</v>
      </c>
      <c r="B27">
        <v>921</v>
      </c>
    </row>
    <row r="28" spans="1:3" x14ac:dyDescent="0.2">
      <c r="A28">
        <v>26</v>
      </c>
      <c r="B28">
        <v>1017</v>
      </c>
    </row>
    <row r="29" spans="1:3" x14ac:dyDescent="0.2">
      <c r="A29">
        <v>27</v>
      </c>
      <c r="B29">
        <v>672</v>
      </c>
    </row>
    <row r="30" spans="1:3" x14ac:dyDescent="0.2">
      <c r="A30">
        <v>28</v>
      </c>
      <c r="B30">
        <v>483</v>
      </c>
    </row>
    <row r="31" spans="1:3" x14ac:dyDescent="0.2">
      <c r="A31">
        <v>29</v>
      </c>
      <c r="B31">
        <v>518</v>
      </c>
    </row>
    <row r="32" spans="1:3" x14ac:dyDescent="0.2">
      <c r="A32">
        <v>30</v>
      </c>
      <c r="B32">
        <v>1037</v>
      </c>
    </row>
    <row r="33" spans="1:3" x14ac:dyDescent="0.2">
      <c r="A33">
        <v>31</v>
      </c>
      <c r="B33">
        <v>1497</v>
      </c>
    </row>
    <row r="34" spans="1:3" x14ac:dyDescent="0.2">
      <c r="A34" t="s">
        <v>9</v>
      </c>
      <c r="B34">
        <f>SUM(B3:B33)</f>
        <v>26530</v>
      </c>
      <c r="C34">
        <f>SUM(C3:C33)</f>
        <v>8425</v>
      </c>
    </row>
    <row r="35" spans="1:3" x14ac:dyDescent="0.2">
      <c r="A35" t="s">
        <v>11</v>
      </c>
      <c r="B35" s="12">
        <f>B34-C34+F6</f>
        <v>18105</v>
      </c>
    </row>
    <row r="36" spans="1:3" x14ac:dyDescent="0.2">
      <c r="A36" t="s">
        <v>91</v>
      </c>
      <c r="B36" s="12">
        <f>B35-17055</f>
        <v>1050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8D589-CC93-8740-9F8E-D4E3987828B6}">
  <dimension ref="A1:F36"/>
  <sheetViews>
    <sheetView zoomScaleNormal="100" zoomScaleSheetLayoutView="100" workbookViewId="0">
      <selection activeCell="F32" sqref="F32"/>
    </sheetView>
  </sheetViews>
  <sheetFormatPr defaultRowHeight="15" x14ac:dyDescent="0.2"/>
  <sheetData>
    <row r="1" spans="1:6" x14ac:dyDescent="0.2">
      <c r="D1" s="4">
        <v>45992</v>
      </c>
    </row>
    <row r="2" spans="1:6" x14ac:dyDescent="0.2">
      <c r="B2" t="s">
        <v>8</v>
      </c>
      <c r="C2" t="s">
        <v>10</v>
      </c>
    </row>
    <row r="3" spans="1:6" x14ac:dyDescent="0.2">
      <c r="A3">
        <v>1</v>
      </c>
      <c r="B3">
        <v>491</v>
      </c>
      <c r="C3" s="2">
        <v>6257</v>
      </c>
      <c r="D3" t="s">
        <v>2</v>
      </c>
      <c r="E3" t="s">
        <v>1</v>
      </c>
    </row>
    <row r="4" spans="1:6" x14ac:dyDescent="0.2">
      <c r="A4">
        <v>2</v>
      </c>
      <c r="B4">
        <v>554</v>
      </c>
      <c r="C4" s="2">
        <v>476</v>
      </c>
      <c r="D4" t="s">
        <v>2</v>
      </c>
      <c r="E4" s="1" t="s">
        <v>0</v>
      </c>
    </row>
    <row r="5" spans="1:6" x14ac:dyDescent="0.2">
      <c r="A5">
        <v>3</v>
      </c>
      <c r="B5">
        <v>700</v>
      </c>
      <c r="C5" s="2"/>
      <c r="D5" t="s">
        <v>98</v>
      </c>
      <c r="E5" t="s">
        <v>2</v>
      </c>
    </row>
    <row r="6" spans="1:6" x14ac:dyDescent="0.2">
      <c r="A6">
        <v>4</v>
      </c>
      <c r="B6">
        <v>809</v>
      </c>
      <c r="C6" s="2">
        <v>522</v>
      </c>
      <c r="D6" t="s">
        <v>28</v>
      </c>
      <c r="F6" s="12">
        <f>SUM(F3:F5)</f>
        <v>0</v>
      </c>
    </row>
    <row r="7" spans="1:6" x14ac:dyDescent="0.2">
      <c r="A7">
        <v>5</v>
      </c>
      <c r="B7">
        <v>992</v>
      </c>
      <c r="C7" s="2">
        <v>82</v>
      </c>
      <c r="D7" t="s">
        <v>94</v>
      </c>
    </row>
    <row r="8" spans="1:6" x14ac:dyDescent="0.2">
      <c r="A8">
        <v>6</v>
      </c>
      <c r="B8">
        <v>2487</v>
      </c>
      <c r="C8" s="2">
        <v>100</v>
      </c>
      <c r="D8" t="s">
        <v>92</v>
      </c>
    </row>
    <row r="9" spans="1:6" x14ac:dyDescent="0.2">
      <c r="A9">
        <v>7</v>
      </c>
      <c r="B9">
        <v>922</v>
      </c>
      <c r="C9" s="2">
        <v>198</v>
      </c>
    </row>
    <row r="10" spans="1:6" x14ac:dyDescent="0.2">
      <c r="A10">
        <v>8</v>
      </c>
      <c r="B10">
        <v>0</v>
      </c>
      <c r="C10" s="2"/>
    </row>
    <row r="11" spans="1:6" x14ac:dyDescent="0.2">
      <c r="A11">
        <v>9</v>
      </c>
      <c r="B11">
        <v>519</v>
      </c>
      <c r="C11" s="2"/>
    </row>
    <row r="12" spans="1:6" x14ac:dyDescent="0.2">
      <c r="A12">
        <v>10</v>
      </c>
      <c r="B12" s="10">
        <v>743</v>
      </c>
      <c r="C12" s="2"/>
    </row>
    <row r="13" spans="1:6" x14ac:dyDescent="0.2">
      <c r="A13">
        <v>11</v>
      </c>
      <c r="B13">
        <v>801</v>
      </c>
      <c r="C13" s="2"/>
    </row>
    <row r="14" spans="1:6" x14ac:dyDescent="0.2">
      <c r="A14">
        <v>12</v>
      </c>
      <c r="B14">
        <v>0</v>
      </c>
      <c r="C14" s="2"/>
    </row>
    <row r="15" spans="1:6" x14ac:dyDescent="0.2">
      <c r="A15">
        <v>13</v>
      </c>
      <c r="B15">
        <v>1538</v>
      </c>
      <c r="C15" s="2"/>
    </row>
    <row r="16" spans="1:6" x14ac:dyDescent="0.2">
      <c r="A16">
        <v>14</v>
      </c>
      <c r="B16">
        <v>751</v>
      </c>
      <c r="C16" s="2"/>
      <c r="F16" s="3"/>
    </row>
    <row r="17" spans="1:3" x14ac:dyDescent="0.2">
      <c r="A17">
        <v>15</v>
      </c>
      <c r="B17">
        <v>663</v>
      </c>
      <c r="C17" s="2"/>
    </row>
    <row r="18" spans="1:3" x14ac:dyDescent="0.2">
      <c r="A18">
        <v>16</v>
      </c>
      <c r="B18">
        <v>650</v>
      </c>
    </row>
    <row r="19" spans="1:3" x14ac:dyDescent="0.2">
      <c r="A19">
        <v>17</v>
      </c>
      <c r="B19">
        <v>695</v>
      </c>
    </row>
    <row r="20" spans="1:3" x14ac:dyDescent="0.2">
      <c r="A20">
        <v>18</v>
      </c>
      <c r="B20">
        <v>733</v>
      </c>
    </row>
    <row r="21" spans="1:3" x14ac:dyDescent="0.2">
      <c r="A21">
        <v>19</v>
      </c>
      <c r="B21">
        <v>1109</v>
      </c>
    </row>
    <row r="22" spans="1:3" x14ac:dyDescent="0.2">
      <c r="A22">
        <v>20</v>
      </c>
      <c r="B22">
        <v>1864</v>
      </c>
    </row>
    <row r="23" spans="1:3" x14ac:dyDescent="0.2">
      <c r="A23">
        <v>21</v>
      </c>
      <c r="B23">
        <v>1099</v>
      </c>
    </row>
    <row r="24" spans="1:3" x14ac:dyDescent="0.2">
      <c r="A24">
        <v>22</v>
      </c>
      <c r="B24">
        <v>933</v>
      </c>
    </row>
    <row r="25" spans="1:3" x14ac:dyDescent="0.2">
      <c r="A25">
        <v>23</v>
      </c>
      <c r="B25">
        <v>1265</v>
      </c>
    </row>
    <row r="26" spans="1:3" x14ac:dyDescent="0.2">
      <c r="A26">
        <v>24</v>
      </c>
      <c r="B26">
        <v>2026</v>
      </c>
    </row>
    <row r="27" spans="1:3" x14ac:dyDescent="0.2">
      <c r="A27">
        <v>25</v>
      </c>
      <c r="B27">
        <v>0</v>
      </c>
    </row>
    <row r="28" spans="1:3" x14ac:dyDescent="0.2">
      <c r="A28">
        <v>26</v>
      </c>
      <c r="B28">
        <v>885</v>
      </c>
    </row>
    <row r="29" spans="1:3" x14ac:dyDescent="0.2">
      <c r="A29">
        <v>27</v>
      </c>
      <c r="B29">
        <v>1456</v>
      </c>
    </row>
    <row r="30" spans="1:3" x14ac:dyDescent="0.2">
      <c r="A30">
        <v>28</v>
      </c>
      <c r="B30">
        <v>1009</v>
      </c>
    </row>
    <row r="31" spans="1:3" x14ac:dyDescent="0.2">
      <c r="A31">
        <v>29</v>
      </c>
      <c r="B31">
        <v>828</v>
      </c>
    </row>
    <row r="32" spans="1:3" x14ac:dyDescent="0.2">
      <c r="A32">
        <v>30</v>
      </c>
      <c r="B32">
        <v>1247</v>
      </c>
    </row>
    <row r="33" spans="1:3" x14ac:dyDescent="0.2">
      <c r="A33">
        <v>31</v>
      </c>
      <c r="B33">
        <v>640</v>
      </c>
    </row>
    <row r="34" spans="1:3" x14ac:dyDescent="0.2">
      <c r="A34" t="s">
        <v>9</v>
      </c>
      <c r="B34">
        <f>SUM(B3:B33)</f>
        <v>28409</v>
      </c>
      <c r="C34">
        <f>SUM(C3:C33)</f>
        <v>7635</v>
      </c>
    </row>
    <row r="35" spans="1:3" x14ac:dyDescent="0.2">
      <c r="A35" t="s">
        <v>11</v>
      </c>
      <c r="B35" s="12">
        <f>B34-C34-B64+F6</f>
        <v>20774</v>
      </c>
    </row>
    <row r="36" spans="1:3" x14ac:dyDescent="0.2">
      <c r="A36" t="s">
        <v>91</v>
      </c>
      <c r="B36" s="12">
        <f>B35-15200-500</f>
        <v>5074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11E9-C443-1C4D-8169-A7D203353C43}">
  <dimension ref="A1:F36"/>
  <sheetViews>
    <sheetView zoomScaleNormal="100" zoomScaleSheetLayoutView="100" workbookViewId="0">
      <selection activeCell="C11" sqref="C11"/>
    </sheetView>
  </sheetViews>
  <sheetFormatPr defaultRowHeight="15" x14ac:dyDescent="0.2"/>
  <sheetData>
    <row r="1" spans="1:6" x14ac:dyDescent="0.2">
      <c r="D1" s="4">
        <v>45962</v>
      </c>
    </row>
    <row r="2" spans="1:6" x14ac:dyDescent="0.2">
      <c r="B2" t="s">
        <v>8</v>
      </c>
      <c r="C2" t="s">
        <v>10</v>
      </c>
    </row>
    <row r="3" spans="1:6" x14ac:dyDescent="0.2">
      <c r="A3">
        <v>1</v>
      </c>
      <c r="B3">
        <v>344</v>
      </c>
      <c r="C3" s="2">
        <v>4390</v>
      </c>
      <c r="D3" t="s">
        <v>2</v>
      </c>
      <c r="E3" t="s">
        <v>1</v>
      </c>
    </row>
    <row r="4" spans="1:6" x14ac:dyDescent="0.2">
      <c r="A4">
        <v>2</v>
      </c>
      <c r="B4">
        <v>885</v>
      </c>
      <c r="C4" s="2">
        <v>563</v>
      </c>
      <c r="D4" t="s">
        <v>2</v>
      </c>
      <c r="E4" s="1" t="s">
        <v>0</v>
      </c>
    </row>
    <row r="5" spans="1:6" x14ac:dyDescent="0.2">
      <c r="A5">
        <v>3</v>
      </c>
      <c r="B5">
        <v>557</v>
      </c>
      <c r="C5" s="2"/>
      <c r="D5" t="s">
        <v>98</v>
      </c>
      <c r="E5" t="s">
        <v>2</v>
      </c>
    </row>
    <row r="6" spans="1:6" x14ac:dyDescent="0.2">
      <c r="A6">
        <v>4</v>
      </c>
      <c r="B6">
        <v>549</v>
      </c>
      <c r="C6" s="2">
        <v>472</v>
      </c>
      <c r="D6" t="s">
        <v>28</v>
      </c>
      <c r="F6" s="12">
        <f>SUM(F3:F5)</f>
        <v>0</v>
      </c>
    </row>
    <row r="7" spans="1:6" x14ac:dyDescent="0.2">
      <c r="A7">
        <v>5</v>
      </c>
      <c r="B7">
        <v>422</v>
      </c>
      <c r="C7" s="2">
        <v>82</v>
      </c>
      <c r="D7" t="s">
        <v>94</v>
      </c>
    </row>
    <row r="8" spans="1:6" x14ac:dyDescent="0.2">
      <c r="A8">
        <v>6</v>
      </c>
      <c r="B8">
        <v>775</v>
      </c>
      <c r="C8" s="2">
        <v>100</v>
      </c>
      <c r="D8" t="s">
        <v>92</v>
      </c>
    </row>
    <row r="9" spans="1:6" x14ac:dyDescent="0.2">
      <c r="A9">
        <v>7</v>
      </c>
      <c r="B9">
        <v>824</v>
      </c>
      <c r="C9" s="2"/>
    </row>
    <row r="10" spans="1:6" x14ac:dyDescent="0.2">
      <c r="A10">
        <v>8</v>
      </c>
      <c r="B10">
        <v>1338</v>
      </c>
      <c r="C10" s="2">
        <v>1600</v>
      </c>
    </row>
    <row r="11" spans="1:6" x14ac:dyDescent="0.2">
      <c r="A11">
        <v>9</v>
      </c>
      <c r="B11">
        <v>759</v>
      </c>
      <c r="C11" s="2"/>
    </row>
    <row r="12" spans="1:6" x14ac:dyDescent="0.2">
      <c r="A12">
        <v>10</v>
      </c>
      <c r="B12" s="10">
        <v>850</v>
      </c>
      <c r="C12" s="2"/>
    </row>
    <row r="13" spans="1:6" x14ac:dyDescent="0.2">
      <c r="A13">
        <v>11</v>
      </c>
      <c r="B13">
        <v>714</v>
      </c>
      <c r="C13" s="2">
        <v>228</v>
      </c>
    </row>
    <row r="14" spans="1:6" x14ac:dyDescent="0.2">
      <c r="A14">
        <v>12</v>
      </c>
      <c r="B14">
        <v>0</v>
      </c>
      <c r="C14" s="2"/>
    </row>
    <row r="15" spans="1:6" x14ac:dyDescent="0.2">
      <c r="A15">
        <v>13</v>
      </c>
      <c r="B15">
        <v>263</v>
      </c>
      <c r="C15" s="2">
        <v>171</v>
      </c>
    </row>
    <row r="16" spans="1:6" x14ac:dyDescent="0.2">
      <c r="A16">
        <v>14</v>
      </c>
      <c r="B16">
        <v>1091</v>
      </c>
      <c r="C16" s="2"/>
      <c r="F16" s="3"/>
    </row>
    <row r="17" spans="1:3" x14ac:dyDescent="0.2">
      <c r="A17">
        <v>15</v>
      </c>
      <c r="B17">
        <v>1010</v>
      </c>
      <c r="C17" s="2"/>
    </row>
    <row r="18" spans="1:3" x14ac:dyDescent="0.2">
      <c r="A18">
        <v>16</v>
      </c>
      <c r="B18">
        <v>1046</v>
      </c>
    </row>
    <row r="19" spans="1:3" x14ac:dyDescent="0.2">
      <c r="A19">
        <v>17</v>
      </c>
      <c r="B19">
        <v>269</v>
      </c>
    </row>
    <row r="20" spans="1:3" x14ac:dyDescent="0.2">
      <c r="A20">
        <v>18</v>
      </c>
      <c r="B20">
        <v>301</v>
      </c>
    </row>
    <row r="21" spans="1:3" x14ac:dyDescent="0.2">
      <c r="A21">
        <v>19</v>
      </c>
      <c r="B21">
        <v>651</v>
      </c>
    </row>
    <row r="22" spans="1:3" x14ac:dyDescent="0.2">
      <c r="A22">
        <v>20</v>
      </c>
      <c r="B22">
        <v>1041</v>
      </c>
    </row>
    <row r="23" spans="1:3" x14ac:dyDescent="0.2">
      <c r="A23">
        <v>21</v>
      </c>
      <c r="B23">
        <v>1125</v>
      </c>
    </row>
    <row r="24" spans="1:3" x14ac:dyDescent="0.2">
      <c r="A24">
        <v>22</v>
      </c>
      <c r="B24">
        <v>1236</v>
      </c>
    </row>
    <row r="25" spans="1:3" x14ac:dyDescent="0.2">
      <c r="A25">
        <v>23</v>
      </c>
      <c r="B25">
        <v>732</v>
      </c>
    </row>
    <row r="26" spans="1:3" x14ac:dyDescent="0.2">
      <c r="A26">
        <v>24</v>
      </c>
      <c r="B26">
        <v>604</v>
      </c>
    </row>
    <row r="27" spans="1:3" x14ac:dyDescent="0.2">
      <c r="A27">
        <v>25</v>
      </c>
      <c r="B27">
        <v>787</v>
      </c>
    </row>
    <row r="28" spans="1:3" x14ac:dyDescent="0.2">
      <c r="A28">
        <v>26</v>
      </c>
      <c r="B28">
        <v>731</v>
      </c>
    </row>
    <row r="29" spans="1:3" x14ac:dyDescent="0.2">
      <c r="A29">
        <v>27</v>
      </c>
      <c r="B29">
        <v>652</v>
      </c>
    </row>
    <row r="30" spans="1:3" x14ac:dyDescent="0.2">
      <c r="A30">
        <v>28</v>
      </c>
      <c r="B30">
        <v>940</v>
      </c>
    </row>
    <row r="31" spans="1:3" x14ac:dyDescent="0.2">
      <c r="A31">
        <v>29</v>
      </c>
      <c r="B31">
        <v>1944</v>
      </c>
    </row>
    <row r="32" spans="1:3" x14ac:dyDescent="0.2">
      <c r="A32">
        <v>30</v>
      </c>
      <c r="B32">
        <v>1565</v>
      </c>
    </row>
    <row r="34" spans="1:3" x14ac:dyDescent="0.2">
      <c r="A34" t="s">
        <v>9</v>
      </c>
      <c r="B34">
        <f>SUM(B3:B33)</f>
        <v>24005</v>
      </c>
      <c r="C34">
        <f>SUM(C3:C33)</f>
        <v>7606</v>
      </c>
    </row>
    <row r="35" spans="1:3" x14ac:dyDescent="0.2">
      <c r="A35" t="s">
        <v>11</v>
      </c>
      <c r="B35" s="12">
        <f>B34-C34-B64+F6</f>
        <v>16399</v>
      </c>
    </row>
    <row r="36" spans="1:3" x14ac:dyDescent="0.2">
      <c r="B36" s="1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8045-D2B2-D048-8F9A-D794659BC9AA}">
  <dimension ref="A1:F36"/>
  <sheetViews>
    <sheetView topLeftCell="A3" zoomScaleNormal="100" zoomScaleSheetLayoutView="100" workbookViewId="0">
      <selection activeCell="B37" sqref="B37"/>
    </sheetView>
  </sheetViews>
  <sheetFormatPr defaultRowHeight="15" x14ac:dyDescent="0.2"/>
  <sheetData>
    <row r="1" spans="1:6" x14ac:dyDescent="0.2">
      <c r="D1" s="4">
        <v>45931</v>
      </c>
    </row>
    <row r="2" spans="1:6" x14ac:dyDescent="0.2">
      <c r="B2" t="s">
        <v>8</v>
      </c>
      <c r="C2" t="s">
        <v>10</v>
      </c>
    </row>
    <row r="3" spans="1:6" x14ac:dyDescent="0.2">
      <c r="A3">
        <v>1</v>
      </c>
      <c r="B3">
        <v>296</v>
      </c>
      <c r="C3" s="2">
        <v>3636</v>
      </c>
      <c r="D3" t="s">
        <v>2</v>
      </c>
      <c r="E3" t="s">
        <v>1</v>
      </c>
    </row>
    <row r="4" spans="1:6" x14ac:dyDescent="0.2">
      <c r="A4">
        <v>2</v>
      </c>
      <c r="B4">
        <v>269</v>
      </c>
      <c r="C4" s="2">
        <v>813</v>
      </c>
      <c r="D4" t="s">
        <v>2</v>
      </c>
      <c r="E4" s="1" t="s">
        <v>0</v>
      </c>
    </row>
    <row r="5" spans="1:6" x14ac:dyDescent="0.2">
      <c r="A5">
        <v>3</v>
      </c>
      <c r="B5">
        <v>349</v>
      </c>
      <c r="C5" s="2">
        <v>478</v>
      </c>
      <c r="D5" t="s">
        <v>98</v>
      </c>
      <c r="E5" t="s">
        <v>2</v>
      </c>
    </row>
    <row r="6" spans="1:6" x14ac:dyDescent="0.2">
      <c r="A6">
        <v>4</v>
      </c>
      <c r="B6">
        <v>1454</v>
      </c>
      <c r="C6" s="2">
        <v>493</v>
      </c>
      <c r="D6" t="s">
        <v>28</v>
      </c>
      <c r="F6" s="12">
        <f>SUM(F3:F5)</f>
        <v>0</v>
      </c>
    </row>
    <row r="7" spans="1:6" x14ac:dyDescent="0.2">
      <c r="A7">
        <v>5</v>
      </c>
      <c r="B7">
        <v>1254</v>
      </c>
      <c r="C7" s="2">
        <v>82</v>
      </c>
      <c r="D7" t="s">
        <v>94</v>
      </c>
    </row>
    <row r="8" spans="1:6" x14ac:dyDescent="0.2">
      <c r="A8">
        <v>6</v>
      </c>
      <c r="B8">
        <v>306</v>
      </c>
      <c r="C8" s="2">
        <v>100</v>
      </c>
      <c r="D8" t="s">
        <v>92</v>
      </c>
    </row>
    <row r="9" spans="1:6" x14ac:dyDescent="0.2">
      <c r="A9">
        <v>7</v>
      </c>
      <c r="B9">
        <v>253</v>
      </c>
      <c r="C9" s="2"/>
    </row>
    <row r="10" spans="1:6" x14ac:dyDescent="0.2">
      <c r="A10">
        <v>8</v>
      </c>
      <c r="B10">
        <v>341</v>
      </c>
      <c r="C10" s="2"/>
    </row>
    <row r="11" spans="1:6" x14ac:dyDescent="0.2">
      <c r="A11">
        <v>9</v>
      </c>
      <c r="B11">
        <v>285</v>
      </c>
      <c r="C11" s="2"/>
    </row>
    <row r="12" spans="1:6" x14ac:dyDescent="0.2">
      <c r="A12">
        <v>10</v>
      </c>
      <c r="B12" s="10">
        <v>974</v>
      </c>
      <c r="C12" s="2"/>
    </row>
    <row r="13" spans="1:6" x14ac:dyDescent="0.2">
      <c r="A13">
        <v>11</v>
      </c>
      <c r="B13">
        <v>1500</v>
      </c>
      <c r="C13" s="2"/>
    </row>
    <row r="14" spans="1:6" x14ac:dyDescent="0.2">
      <c r="A14">
        <v>12</v>
      </c>
      <c r="B14">
        <v>0</v>
      </c>
      <c r="C14" s="2"/>
    </row>
    <row r="15" spans="1:6" x14ac:dyDescent="0.2">
      <c r="A15">
        <v>13</v>
      </c>
      <c r="B15">
        <v>470</v>
      </c>
      <c r="C15" s="2"/>
    </row>
    <row r="16" spans="1:6" x14ac:dyDescent="0.2">
      <c r="A16">
        <v>14</v>
      </c>
      <c r="B16">
        <v>655</v>
      </c>
      <c r="C16" s="2"/>
      <c r="F16" s="3"/>
    </row>
    <row r="17" spans="1:3" x14ac:dyDescent="0.2">
      <c r="A17">
        <v>15</v>
      </c>
      <c r="B17">
        <v>643</v>
      </c>
      <c r="C17" s="2"/>
    </row>
    <row r="18" spans="1:3" x14ac:dyDescent="0.2">
      <c r="A18">
        <v>16</v>
      </c>
      <c r="B18">
        <v>134</v>
      </c>
    </row>
    <row r="19" spans="1:3" x14ac:dyDescent="0.2">
      <c r="A19">
        <v>17</v>
      </c>
      <c r="B19">
        <v>121</v>
      </c>
    </row>
    <row r="20" spans="1:3" x14ac:dyDescent="0.2">
      <c r="A20">
        <v>18</v>
      </c>
      <c r="B20">
        <v>820</v>
      </c>
    </row>
    <row r="21" spans="1:3" x14ac:dyDescent="0.2">
      <c r="A21">
        <v>19</v>
      </c>
      <c r="B21">
        <v>0</v>
      </c>
    </row>
    <row r="22" spans="1:3" x14ac:dyDescent="0.2">
      <c r="A22">
        <v>20</v>
      </c>
      <c r="B22">
        <v>563</v>
      </c>
    </row>
    <row r="23" spans="1:3" x14ac:dyDescent="0.2">
      <c r="A23">
        <v>21</v>
      </c>
      <c r="B23">
        <v>592</v>
      </c>
    </row>
    <row r="24" spans="1:3" x14ac:dyDescent="0.2">
      <c r="A24">
        <v>22</v>
      </c>
      <c r="B24">
        <v>248</v>
      </c>
    </row>
    <row r="25" spans="1:3" x14ac:dyDescent="0.2">
      <c r="A25">
        <v>23</v>
      </c>
      <c r="B25">
        <v>590</v>
      </c>
    </row>
    <row r="26" spans="1:3" x14ac:dyDescent="0.2">
      <c r="A26">
        <v>24</v>
      </c>
      <c r="B26">
        <v>485</v>
      </c>
    </row>
    <row r="27" spans="1:3" x14ac:dyDescent="0.2">
      <c r="A27">
        <v>25</v>
      </c>
      <c r="B27">
        <v>978</v>
      </c>
    </row>
    <row r="28" spans="1:3" x14ac:dyDescent="0.2">
      <c r="A28">
        <v>26</v>
      </c>
      <c r="B28">
        <v>308</v>
      </c>
    </row>
    <row r="29" spans="1:3" x14ac:dyDescent="0.2">
      <c r="A29">
        <v>27</v>
      </c>
      <c r="B29">
        <v>734</v>
      </c>
    </row>
    <row r="30" spans="1:3" x14ac:dyDescent="0.2">
      <c r="A30">
        <v>28</v>
      </c>
      <c r="B30">
        <v>18</v>
      </c>
    </row>
    <row r="31" spans="1:3" x14ac:dyDescent="0.2">
      <c r="A31">
        <v>29</v>
      </c>
      <c r="B31">
        <v>73</v>
      </c>
    </row>
    <row r="32" spans="1:3" x14ac:dyDescent="0.2">
      <c r="A32">
        <v>30</v>
      </c>
      <c r="B32">
        <v>568</v>
      </c>
    </row>
    <row r="33" spans="1:3" x14ac:dyDescent="0.2">
      <c r="A33">
        <v>31</v>
      </c>
      <c r="B33">
        <v>677</v>
      </c>
    </row>
    <row r="34" spans="1:3" x14ac:dyDescent="0.2">
      <c r="A34" t="s">
        <v>9</v>
      </c>
      <c r="B34">
        <f>SUM(B3:B33)</f>
        <v>15958</v>
      </c>
      <c r="C34">
        <f>SUM(C3:C33)</f>
        <v>5602</v>
      </c>
    </row>
    <row r="35" spans="1:3" x14ac:dyDescent="0.2">
      <c r="A35" t="s">
        <v>11</v>
      </c>
      <c r="B35" s="12">
        <f>B34-C34-B64+F6</f>
        <v>10356</v>
      </c>
    </row>
    <row r="36" spans="1:3" x14ac:dyDescent="0.2">
      <c r="A36" t="s">
        <v>91</v>
      </c>
      <c r="B36" s="1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DF41-B5CA-3B4E-A9DE-BF630CDA01D9}">
  <dimension ref="A1:F36"/>
  <sheetViews>
    <sheetView zoomScaleNormal="100" zoomScaleSheetLayoutView="100" workbookViewId="0">
      <selection activeCell="B33" sqref="B33"/>
    </sheetView>
  </sheetViews>
  <sheetFormatPr defaultRowHeight="15" x14ac:dyDescent="0.2"/>
  <sheetData>
    <row r="1" spans="1:6" x14ac:dyDescent="0.2">
      <c r="D1" s="4">
        <v>45901</v>
      </c>
    </row>
    <row r="2" spans="1:6" x14ac:dyDescent="0.2">
      <c r="B2" t="s">
        <v>8</v>
      </c>
      <c r="C2" t="s">
        <v>10</v>
      </c>
    </row>
    <row r="3" spans="1:6" x14ac:dyDescent="0.2">
      <c r="A3">
        <v>1</v>
      </c>
      <c r="B3">
        <v>347</v>
      </c>
      <c r="C3" s="2">
        <v>4290</v>
      </c>
      <c r="D3" t="s">
        <v>2</v>
      </c>
      <c r="E3" t="s">
        <v>1</v>
      </c>
    </row>
    <row r="4" spans="1:6" x14ac:dyDescent="0.2">
      <c r="A4">
        <v>2</v>
      </c>
      <c r="B4">
        <v>573</v>
      </c>
      <c r="C4" s="2">
        <v>813</v>
      </c>
      <c r="E4" s="1" t="s">
        <v>0</v>
      </c>
    </row>
    <row r="5" spans="1:6" x14ac:dyDescent="0.2">
      <c r="A5">
        <v>3</v>
      </c>
      <c r="B5">
        <v>560</v>
      </c>
      <c r="C5" s="2">
        <v>100</v>
      </c>
      <c r="D5" t="s">
        <v>92</v>
      </c>
      <c r="E5" t="s">
        <v>2</v>
      </c>
    </row>
    <row r="6" spans="1:6" x14ac:dyDescent="0.2">
      <c r="A6">
        <v>4</v>
      </c>
      <c r="B6">
        <v>178</v>
      </c>
      <c r="C6" s="2">
        <v>397</v>
      </c>
      <c r="D6" t="s">
        <v>28</v>
      </c>
      <c r="F6" s="12">
        <f>SUM(F3:F5)</f>
        <v>0</v>
      </c>
    </row>
    <row r="7" spans="1:6" x14ac:dyDescent="0.2">
      <c r="A7">
        <v>5</v>
      </c>
      <c r="B7">
        <v>100</v>
      </c>
      <c r="C7" s="2">
        <v>82</v>
      </c>
      <c r="D7" t="s">
        <v>94</v>
      </c>
    </row>
    <row r="8" spans="1:6" x14ac:dyDescent="0.2">
      <c r="A8">
        <v>6</v>
      </c>
      <c r="B8">
        <v>855</v>
      </c>
      <c r="C8" s="2">
        <v>245</v>
      </c>
    </row>
    <row r="9" spans="1:6" x14ac:dyDescent="0.2">
      <c r="A9">
        <v>7</v>
      </c>
      <c r="B9">
        <v>696</v>
      </c>
      <c r="C9" s="2">
        <v>150</v>
      </c>
      <c r="D9" t="s">
        <v>96</v>
      </c>
    </row>
    <row r="10" spans="1:6" x14ac:dyDescent="0.2">
      <c r="A10">
        <v>8</v>
      </c>
      <c r="B10">
        <v>975</v>
      </c>
      <c r="C10" s="2">
        <v>300</v>
      </c>
    </row>
    <row r="11" spans="1:6" x14ac:dyDescent="0.2">
      <c r="A11">
        <v>9</v>
      </c>
      <c r="B11">
        <v>474</v>
      </c>
      <c r="C11" s="2"/>
    </row>
    <row r="12" spans="1:6" x14ac:dyDescent="0.2">
      <c r="A12">
        <v>10</v>
      </c>
      <c r="B12" s="10">
        <v>925</v>
      </c>
      <c r="C12" s="2">
        <v>110</v>
      </c>
    </row>
    <row r="13" spans="1:6" x14ac:dyDescent="0.2">
      <c r="A13">
        <v>11</v>
      </c>
      <c r="B13">
        <v>564</v>
      </c>
      <c r="C13" s="2"/>
    </row>
    <row r="14" spans="1:6" x14ac:dyDescent="0.2">
      <c r="A14">
        <v>12</v>
      </c>
      <c r="B14">
        <v>757</v>
      </c>
      <c r="C14" s="2"/>
    </row>
    <row r="15" spans="1:6" x14ac:dyDescent="0.2">
      <c r="A15">
        <v>13</v>
      </c>
      <c r="B15">
        <v>1457</v>
      </c>
      <c r="C15" s="2"/>
    </row>
    <row r="16" spans="1:6" x14ac:dyDescent="0.2">
      <c r="A16">
        <v>14</v>
      </c>
      <c r="B16">
        <v>530</v>
      </c>
      <c r="C16" s="2"/>
      <c r="F16" s="3"/>
    </row>
    <row r="17" spans="1:3" x14ac:dyDescent="0.2">
      <c r="A17">
        <v>15</v>
      </c>
      <c r="B17">
        <v>362</v>
      </c>
      <c r="C17" s="2"/>
    </row>
    <row r="18" spans="1:3" x14ac:dyDescent="0.2">
      <c r="A18">
        <v>16</v>
      </c>
      <c r="B18">
        <v>531</v>
      </c>
    </row>
    <row r="19" spans="1:3" x14ac:dyDescent="0.2">
      <c r="A19">
        <v>17</v>
      </c>
      <c r="B19">
        <v>504</v>
      </c>
    </row>
    <row r="20" spans="1:3" x14ac:dyDescent="0.2">
      <c r="A20">
        <v>18</v>
      </c>
      <c r="B20">
        <v>580</v>
      </c>
    </row>
    <row r="21" spans="1:3" x14ac:dyDescent="0.2">
      <c r="A21">
        <v>19</v>
      </c>
      <c r="B21">
        <v>532</v>
      </c>
    </row>
    <row r="22" spans="1:3" x14ac:dyDescent="0.2">
      <c r="A22">
        <v>20</v>
      </c>
      <c r="B22">
        <v>1020</v>
      </c>
    </row>
    <row r="23" spans="1:3" x14ac:dyDescent="0.2">
      <c r="A23">
        <v>21</v>
      </c>
      <c r="B23">
        <v>0</v>
      </c>
    </row>
    <row r="24" spans="1:3" x14ac:dyDescent="0.2">
      <c r="A24">
        <v>22</v>
      </c>
      <c r="B24">
        <v>485</v>
      </c>
    </row>
    <row r="25" spans="1:3" x14ac:dyDescent="0.2">
      <c r="A25">
        <v>23</v>
      </c>
      <c r="B25">
        <v>601</v>
      </c>
    </row>
    <row r="26" spans="1:3" x14ac:dyDescent="0.2">
      <c r="A26">
        <v>24</v>
      </c>
      <c r="B26">
        <v>598</v>
      </c>
    </row>
    <row r="27" spans="1:3" x14ac:dyDescent="0.2">
      <c r="A27">
        <v>25</v>
      </c>
      <c r="B27">
        <v>827</v>
      </c>
    </row>
    <row r="28" spans="1:3" x14ac:dyDescent="0.2">
      <c r="A28">
        <v>26</v>
      </c>
      <c r="B28">
        <v>486</v>
      </c>
    </row>
    <row r="29" spans="1:3" x14ac:dyDescent="0.2">
      <c r="A29">
        <v>27</v>
      </c>
      <c r="B29">
        <v>900</v>
      </c>
    </row>
    <row r="30" spans="1:3" x14ac:dyDescent="0.2">
      <c r="A30">
        <v>28</v>
      </c>
      <c r="B30">
        <v>766</v>
      </c>
    </row>
    <row r="31" spans="1:3" x14ac:dyDescent="0.2">
      <c r="A31">
        <v>29</v>
      </c>
      <c r="B31">
        <v>442</v>
      </c>
    </row>
    <row r="32" spans="1:3" x14ac:dyDescent="0.2">
      <c r="A32">
        <v>30</v>
      </c>
      <c r="B32">
        <v>0</v>
      </c>
    </row>
    <row r="33" spans="1:3" x14ac:dyDescent="0.2">
      <c r="A33" t="s">
        <v>97</v>
      </c>
      <c r="B33">
        <v>1806</v>
      </c>
    </row>
    <row r="34" spans="1:3" x14ac:dyDescent="0.2">
      <c r="A34" t="s">
        <v>9</v>
      </c>
      <c r="B34">
        <f>SUM(B3:B33)</f>
        <v>19431</v>
      </c>
      <c r="C34">
        <f>SUM(C3:C33)</f>
        <v>6487</v>
      </c>
    </row>
    <row r="35" spans="1:3" x14ac:dyDescent="0.2">
      <c r="A35" t="s">
        <v>11</v>
      </c>
      <c r="B35" s="12">
        <f>B34-C34+F6</f>
        <v>12944</v>
      </c>
    </row>
    <row r="36" spans="1:3" x14ac:dyDescent="0.2">
      <c r="B36" s="1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1A97-1650-2540-A16C-68212B72A513}">
  <dimension ref="A1:F36"/>
  <sheetViews>
    <sheetView zoomScaleNormal="100" zoomScaleSheetLayoutView="100" workbookViewId="0">
      <selection activeCell="B33" sqref="B33"/>
    </sheetView>
  </sheetViews>
  <sheetFormatPr defaultRowHeight="15" x14ac:dyDescent="0.2"/>
  <sheetData>
    <row r="1" spans="1:6" x14ac:dyDescent="0.2">
      <c r="D1" s="4">
        <v>45870</v>
      </c>
    </row>
    <row r="2" spans="1:6" x14ac:dyDescent="0.2">
      <c r="B2" t="s">
        <v>8</v>
      </c>
      <c r="C2" t="s">
        <v>10</v>
      </c>
    </row>
    <row r="3" spans="1:6" x14ac:dyDescent="0.2">
      <c r="A3">
        <v>1</v>
      </c>
      <c r="B3">
        <v>576</v>
      </c>
      <c r="C3" s="2">
        <v>4953</v>
      </c>
      <c r="D3" t="s">
        <v>2</v>
      </c>
      <c r="E3" t="s">
        <v>1</v>
      </c>
    </row>
    <row r="4" spans="1:6" x14ac:dyDescent="0.2">
      <c r="A4">
        <v>2</v>
      </c>
      <c r="B4">
        <v>1154</v>
      </c>
      <c r="C4" s="2"/>
      <c r="E4" s="1" t="s">
        <v>0</v>
      </c>
    </row>
    <row r="5" spans="1:6" x14ac:dyDescent="0.2">
      <c r="A5">
        <v>3</v>
      </c>
      <c r="B5">
        <v>0</v>
      </c>
      <c r="C5" s="2">
        <v>100</v>
      </c>
      <c r="D5" t="s">
        <v>92</v>
      </c>
      <c r="E5" t="s">
        <v>2</v>
      </c>
    </row>
    <row r="6" spans="1:6" x14ac:dyDescent="0.2">
      <c r="A6">
        <v>4</v>
      </c>
      <c r="B6">
        <v>0</v>
      </c>
      <c r="C6" s="2">
        <v>440</v>
      </c>
      <c r="D6" t="s">
        <v>28</v>
      </c>
      <c r="F6" s="12">
        <f>SUM(F3:F5)</f>
        <v>0</v>
      </c>
    </row>
    <row r="7" spans="1:6" x14ac:dyDescent="0.2">
      <c r="A7">
        <v>5</v>
      </c>
      <c r="B7">
        <v>347</v>
      </c>
      <c r="C7" s="2">
        <v>82</v>
      </c>
      <c r="D7" t="s">
        <v>94</v>
      </c>
    </row>
    <row r="8" spans="1:6" x14ac:dyDescent="0.2">
      <c r="A8">
        <v>6</v>
      </c>
      <c r="B8">
        <v>513</v>
      </c>
      <c r="C8" s="2"/>
    </row>
    <row r="9" spans="1:6" x14ac:dyDescent="0.2">
      <c r="A9">
        <v>7</v>
      </c>
      <c r="B9">
        <v>636</v>
      </c>
      <c r="C9" s="2"/>
    </row>
    <row r="10" spans="1:6" x14ac:dyDescent="0.2">
      <c r="A10">
        <v>8</v>
      </c>
      <c r="B10">
        <v>410</v>
      </c>
      <c r="C10" s="2"/>
    </row>
    <row r="11" spans="1:6" x14ac:dyDescent="0.2">
      <c r="A11">
        <v>9</v>
      </c>
      <c r="B11">
        <v>1042</v>
      </c>
      <c r="C11" s="2"/>
    </row>
    <row r="12" spans="1:6" x14ac:dyDescent="0.2">
      <c r="A12">
        <v>10</v>
      </c>
      <c r="B12" s="10">
        <v>0</v>
      </c>
      <c r="C12" s="2"/>
    </row>
    <row r="13" spans="1:6" x14ac:dyDescent="0.2">
      <c r="A13">
        <v>11</v>
      </c>
      <c r="B13">
        <v>454</v>
      </c>
      <c r="C13" s="2"/>
    </row>
    <row r="14" spans="1:6" x14ac:dyDescent="0.2">
      <c r="A14">
        <v>12</v>
      </c>
      <c r="B14">
        <v>455</v>
      </c>
      <c r="C14" s="2"/>
    </row>
    <row r="15" spans="1:6" x14ac:dyDescent="0.2">
      <c r="A15">
        <v>13</v>
      </c>
      <c r="B15">
        <v>440</v>
      </c>
      <c r="C15" s="2"/>
    </row>
    <row r="16" spans="1:6" x14ac:dyDescent="0.2">
      <c r="A16">
        <v>14</v>
      </c>
      <c r="B16">
        <v>413</v>
      </c>
      <c r="C16" s="2"/>
      <c r="F16" s="3"/>
    </row>
    <row r="17" spans="1:3" x14ac:dyDescent="0.2">
      <c r="A17">
        <v>15</v>
      </c>
      <c r="B17">
        <v>397</v>
      </c>
      <c r="C17" s="2"/>
    </row>
    <row r="18" spans="1:3" x14ac:dyDescent="0.2">
      <c r="A18">
        <v>16</v>
      </c>
      <c r="B18">
        <v>1505</v>
      </c>
    </row>
    <row r="19" spans="1:3" x14ac:dyDescent="0.2">
      <c r="A19">
        <v>17</v>
      </c>
      <c r="B19">
        <v>790</v>
      </c>
    </row>
    <row r="20" spans="1:3" x14ac:dyDescent="0.2">
      <c r="A20">
        <v>18</v>
      </c>
      <c r="B20">
        <v>508</v>
      </c>
    </row>
    <row r="21" spans="1:3" x14ac:dyDescent="0.2">
      <c r="A21">
        <v>19</v>
      </c>
      <c r="B21">
        <v>432</v>
      </c>
    </row>
    <row r="22" spans="1:3" x14ac:dyDescent="0.2">
      <c r="A22">
        <v>20</v>
      </c>
      <c r="B22">
        <v>409</v>
      </c>
    </row>
    <row r="23" spans="1:3" x14ac:dyDescent="0.2">
      <c r="A23">
        <v>21</v>
      </c>
      <c r="B23">
        <v>679</v>
      </c>
    </row>
    <row r="24" spans="1:3" x14ac:dyDescent="0.2">
      <c r="A24">
        <v>22</v>
      </c>
      <c r="B24">
        <v>647</v>
      </c>
    </row>
    <row r="25" spans="1:3" x14ac:dyDescent="0.2">
      <c r="A25">
        <v>23</v>
      </c>
      <c r="B25">
        <v>809</v>
      </c>
    </row>
    <row r="26" spans="1:3" x14ac:dyDescent="0.2">
      <c r="A26">
        <v>24</v>
      </c>
      <c r="B26">
        <v>0</v>
      </c>
    </row>
    <row r="27" spans="1:3" x14ac:dyDescent="0.2">
      <c r="A27">
        <v>25</v>
      </c>
      <c r="B27">
        <v>103</v>
      </c>
    </row>
    <row r="28" spans="1:3" x14ac:dyDescent="0.2">
      <c r="A28">
        <v>26</v>
      </c>
      <c r="B28">
        <v>282</v>
      </c>
    </row>
    <row r="29" spans="1:3" x14ac:dyDescent="0.2">
      <c r="A29">
        <v>27</v>
      </c>
      <c r="B29">
        <v>377</v>
      </c>
    </row>
    <row r="30" spans="1:3" x14ac:dyDescent="0.2">
      <c r="A30">
        <v>28</v>
      </c>
      <c r="B30">
        <v>382</v>
      </c>
    </row>
    <row r="31" spans="1:3" x14ac:dyDescent="0.2">
      <c r="A31">
        <v>29</v>
      </c>
      <c r="B31">
        <v>630</v>
      </c>
    </row>
    <row r="32" spans="1:3" x14ac:dyDescent="0.2">
      <c r="A32">
        <v>30</v>
      </c>
      <c r="B32">
        <v>1043</v>
      </c>
    </row>
    <row r="33" spans="1:3" x14ac:dyDescent="0.2">
      <c r="A33">
        <v>31</v>
      </c>
      <c r="B33">
        <v>473</v>
      </c>
    </row>
    <row r="34" spans="1:3" x14ac:dyDescent="0.2">
      <c r="A34" t="s">
        <v>9</v>
      </c>
      <c r="B34">
        <f>SUM(B3:B33)</f>
        <v>15906</v>
      </c>
      <c r="C34">
        <f>SUM(C3:C33)</f>
        <v>5575</v>
      </c>
    </row>
    <row r="35" spans="1:3" x14ac:dyDescent="0.2">
      <c r="A35" t="s">
        <v>11</v>
      </c>
      <c r="B35" s="12">
        <f>B34-C34-B64+F6</f>
        <v>10331</v>
      </c>
    </row>
    <row r="36" spans="1:3" x14ac:dyDescent="0.2">
      <c r="A36" t="s">
        <v>91</v>
      </c>
      <c r="B36" s="12">
        <f>B35-15025+794</f>
        <v>-3900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9BA4-2167-4948-8B69-E136D2C60BCC}">
  <dimension ref="A1:F36"/>
  <sheetViews>
    <sheetView zoomScaleNormal="100" zoomScaleSheetLayoutView="100" workbookViewId="0">
      <selection activeCell="B29" sqref="B29:B33"/>
    </sheetView>
  </sheetViews>
  <sheetFormatPr defaultRowHeight="15" x14ac:dyDescent="0.2"/>
  <sheetData>
    <row r="1" spans="1:6" x14ac:dyDescent="0.2">
      <c r="D1" s="4">
        <v>45839</v>
      </c>
    </row>
    <row r="2" spans="1:6" x14ac:dyDescent="0.2">
      <c r="B2" t="s">
        <v>8</v>
      </c>
      <c r="C2" t="s">
        <v>10</v>
      </c>
    </row>
    <row r="3" spans="1:6" x14ac:dyDescent="0.2">
      <c r="A3">
        <v>1</v>
      </c>
      <c r="B3">
        <v>152</v>
      </c>
      <c r="C3" s="2">
        <v>4873.76</v>
      </c>
      <c r="D3" t="s">
        <v>2</v>
      </c>
      <c r="E3" t="s">
        <v>1</v>
      </c>
    </row>
    <row r="4" spans="1:6" x14ac:dyDescent="0.2">
      <c r="A4">
        <v>2</v>
      </c>
      <c r="B4">
        <v>243</v>
      </c>
      <c r="C4" s="2">
        <v>95</v>
      </c>
      <c r="D4" t="s">
        <v>95</v>
      </c>
      <c r="E4" s="1" t="s">
        <v>0</v>
      </c>
    </row>
    <row r="5" spans="1:6" x14ac:dyDescent="0.2">
      <c r="A5">
        <v>3</v>
      </c>
      <c r="B5">
        <v>543</v>
      </c>
      <c r="C5" s="2">
        <v>100</v>
      </c>
      <c r="D5" t="s">
        <v>92</v>
      </c>
      <c r="E5" t="s">
        <v>2</v>
      </c>
    </row>
    <row r="6" spans="1:6" x14ac:dyDescent="0.2">
      <c r="A6">
        <v>4</v>
      </c>
      <c r="B6">
        <v>544</v>
      </c>
      <c r="C6" s="2">
        <v>293</v>
      </c>
      <c r="D6" t="s">
        <v>28</v>
      </c>
      <c r="F6" s="12">
        <f>SUM('Agosto 25'!G3:G5)</f>
        <v>0</v>
      </c>
    </row>
    <row r="7" spans="1:6" x14ac:dyDescent="0.2">
      <c r="A7">
        <v>5</v>
      </c>
      <c r="B7">
        <v>1147</v>
      </c>
      <c r="C7" s="2">
        <v>82</v>
      </c>
      <c r="D7" t="s">
        <v>94</v>
      </c>
    </row>
    <row r="8" spans="1:6" x14ac:dyDescent="0.2">
      <c r="A8">
        <v>6</v>
      </c>
      <c r="B8">
        <v>689</v>
      </c>
      <c r="C8" s="2"/>
    </row>
    <row r="9" spans="1:6" x14ac:dyDescent="0.2">
      <c r="A9">
        <v>7</v>
      </c>
      <c r="B9">
        <v>911</v>
      </c>
      <c r="C9" s="2"/>
    </row>
    <row r="10" spans="1:6" x14ac:dyDescent="0.2">
      <c r="A10">
        <v>8</v>
      </c>
      <c r="B10">
        <v>515</v>
      </c>
      <c r="C10" s="2"/>
    </row>
    <row r="11" spans="1:6" x14ac:dyDescent="0.2">
      <c r="A11">
        <v>9</v>
      </c>
      <c r="B11">
        <v>546</v>
      </c>
      <c r="C11" s="2"/>
    </row>
    <row r="12" spans="1:6" x14ac:dyDescent="0.2">
      <c r="A12">
        <v>10</v>
      </c>
      <c r="B12" s="10">
        <v>476</v>
      </c>
      <c r="C12" s="2"/>
    </row>
    <row r="13" spans="1:6" x14ac:dyDescent="0.2">
      <c r="A13">
        <v>11</v>
      </c>
      <c r="B13">
        <v>455</v>
      </c>
      <c r="C13" s="2"/>
    </row>
    <row r="14" spans="1:6" x14ac:dyDescent="0.2">
      <c r="A14">
        <v>12</v>
      </c>
      <c r="B14">
        <v>1046</v>
      </c>
      <c r="C14" s="2"/>
    </row>
    <row r="15" spans="1:6" x14ac:dyDescent="0.2">
      <c r="A15">
        <v>13</v>
      </c>
      <c r="B15">
        <v>946</v>
      </c>
      <c r="C15" s="2"/>
    </row>
    <row r="16" spans="1:6" x14ac:dyDescent="0.2">
      <c r="A16">
        <v>14</v>
      </c>
      <c r="B16">
        <v>830</v>
      </c>
      <c r="C16" s="2"/>
      <c r="F16" s="3"/>
    </row>
    <row r="17" spans="1:3" x14ac:dyDescent="0.2">
      <c r="A17">
        <v>15</v>
      </c>
      <c r="B17">
        <v>659</v>
      </c>
      <c r="C17" s="2"/>
    </row>
    <row r="18" spans="1:3" x14ac:dyDescent="0.2">
      <c r="A18">
        <v>16</v>
      </c>
      <c r="B18">
        <v>610</v>
      </c>
    </row>
    <row r="19" spans="1:3" x14ac:dyDescent="0.2">
      <c r="A19">
        <v>17</v>
      </c>
      <c r="B19">
        <v>152</v>
      </c>
    </row>
    <row r="20" spans="1:3" x14ac:dyDescent="0.2">
      <c r="A20">
        <v>18</v>
      </c>
      <c r="B20">
        <v>400</v>
      </c>
    </row>
    <row r="21" spans="1:3" x14ac:dyDescent="0.2">
      <c r="A21">
        <v>19</v>
      </c>
      <c r="B21">
        <v>1220</v>
      </c>
    </row>
    <row r="22" spans="1:3" x14ac:dyDescent="0.2">
      <c r="A22">
        <v>20</v>
      </c>
      <c r="B22">
        <v>748</v>
      </c>
    </row>
    <row r="23" spans="1:3" x14ac:dyDescent="0.2">
      <c r="A23">
        <v>21</v>
      </c>
      <c r="B23">
        <v>628</v>
      </c>
    </row>
    <row r="24" spans="1:3" x14ac:dyDescent="0.2">
      <c r="A24">
        <v>22</v>
      </c>
      <c r="B24">
        <v>434</v>
      </c>
    </row>
    <row r="25" spans="1:3" x14ac:dyDescent="0.2">
      <c r="A25">
        <v>23</v>
      </c>
      <c r="B25">
        <v>500</v>
      </c>
    </row>
    <row r="26" spans="1:3" x14ac:dyDescent="0.2">
      <c r="A26">
        <v>24</v>
      </c>
      <c r="B26">
        <v>0</v>
      </c>
    </row>
    <row r="27" spans="1:3" x14ac:dyDescent="0.2">
      <c r="A27">
        <v>25</v>
      </c>
      <c r="B27">
        <v>742</v>
      </c>
    </row>
    <row r="28" spans="1:3" x14ac:dyDescent="0.2">
      <c r="A28">
        <v>26</v>
      </c>
      <c r="B28">
        <v>982</v>
      </c>
    </row>
    <row r="29" spans="1:3" x14ac:dyDescent="0.2">
      <c r="A29">
        <v>27</v>
      </c>
      <c r="B29">
        <v>0</v>
      </c>
    </row>
    <row r="30" spans="1:3" x14ac:dyDescent="0.2">
      <c r="A30">
        <v>28</v>
      </c>
      <c r="B30">
        <v>377</v>
      </c>
    </row>
    <row r="31" spans="1:3" x14ac:dyDescent="0.2">
      <c r="A31">
        <v>29</v>
      </c>
      <c r="B31">
        <v>204</v>
      </c>
    </row>
    <row r="32" spans="1:3" x14ac:dyDescent="0.2">
      <c r="A32">
        <v>30</v>
      </c>
      <c r="B32">
        <v>386</v>
      </c>
    </row>
    <row r="33" spans="1:3" x14ac:dyDescent="0.2">
      <c r="A33">
        <v>31</v>
      </c>
      <c r="B33">
        <v>434</v>
      </c>
    </row>
    <row r="34" spans="1:3" x14ac:dyDescent="0.2">
      <c r="A34" t="s">
        <v>9</v>
      </c>
      <c r="B34">
        <f>SUM(B3:B33)</f>
        <v>17519</v>
      </c>
      <c r="C34">
        <f>SUM(C3:C33)</f>
        <v>5443.76</v>
      </c>
    </row>
    <row r="35" spans="1:3" x14ac:dyDescent="0.2">
      <c r="A35" t="s">
        <v>11</v>
      </c>
      <c r="B35" s="12">
        <f>B34-C34-B64+F6</f>
        <v>12075.24</v>
      </c>
    </row>
    <row r="36" spans="1:3" x14ac:dyDescent="0.2">
      <c r="A36" t="s">
        <v>91</v>
      </c>
      <c r="B36" s="12">
        <f>B35-16500</f>
        <v>-4424.76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B587-2EE5-BC48-B6E6-5CB4468E4DE5}">
  <dimension ref="A1:F36"/>
  <sheetViews>
    <sheetView zoomScaleNormal="100" zoomScaleSheetLayoutView="100" workbookViewId="0">
      <selection activeCell="B3" sqref="B3:B15"/>
    </sheetView>
  </sheetViews>
  <sheetFormatPr defaultRowHeight="15" x14ac:dyDescent="0.2"/>
  <sheetData>
    <row r="1" spans="1:6" x14ac:dyDescent="0.2">
      <c r="D1" s="4">
        <v>45809</v>
      </c>
    </row>
    <row r="2" spans="1:6" x14ac:dyDescent="0.2">
      <c r="B2" t="s">
        <v>8</v>
      </c>
      <c r="C2" t="s">
        <v>10</v>
      </c>
    </row>
    <row r="3" spans="1:6" x14ac:dyDescent="0.2">
      <c r="A3">
        <v>1</v>
      </c>
      <c r="B3">
        <v>747</v>
      </c>
      <c r="C3" s="2">
        <v>3675</v>
      </c>
      <c r="D3" t="s">
        <v>2</v>
      </c>
      <c r="E3" t="s">
        <v>1</v>
      </c>
    </row>
    <row r="4" spans="1:6" x14ac:dyDescent="0.2">
      <c r="A4">
        <v>2</v>
      </c>
      <c r="B4">
        <v>293</v>
      </c>
      <c r="C4" s="2"/>
      <c r="E4" s="1" t="s">
        <v>0</v>
      </c>
    </row>
    <row r="5" spans="1:6" x14ac:dyDescent="0.2">
      <c r="A5">
        <v>3</v>
      </c>
      <c r="B5">
        <v>256</v>
      </c>
      <c r="C5" s="2">
        <v>100</v>
      </c>
      <c r="D5" t="s">
        <v>92</v>
      </c>
      <c r="E5" t="s">
        <v>2</v>
      </c>
    </row>
    <row r="6" spans="1:6" x14ac:dyDescent="0.2">
      <c r="A6">
        <v>4</v>
      </c>
      <c r="B6">
        <v>342</v>
      </c>
      <c r="C6" s="2">
        <v>414</v>
      </c>
      <c r="D6" t="s">
        <v>28</v>
      </c>
      <c r="F6" s="12">
        <f>SUM(F3:F5)</f>
        <v>0</v>
      </c>
    </row>
    <row r="7" spans="1:6" x14ac:dyDescent="0.2">
      <c r="A7">
        <v>5</v>
      </c>
      <c r="B7">
        <v>0</v>
      </c>
      <c r="C7" s="2">
        <v>82</v>
      </c>
      <c r="D7" t="s">
        <v>94</v>
      </c>
    </row>
    <row r="8" spans="1:6" x14ac:dyDescent="0.2">
      <c r="A8">
        <v>6</v>
      </c>
      <c r="B8">
        <v>531</v>
      </c>
      <c r="C8" s="2">
        <v>43</v>
      </c>
    </row>
    <row r="9" spans="1:6" x14ac:dyDescent="0.2">
      <c r="A9">
        <v>7</v>
      </c>
      <c r="B9">
        <v>1237</v>
      </c>
      <c r="C9" s="2"/>
    </row>
    <row r="10" spans="1:6" x14ac:dyDescent="0.2">
      <c r="A10">
        <v>8</v>
      </c>
      <c r="B10">
        <v>711</v>
      </c>
      <c r="C10" s="2"/>
    </row>
    <row r="11" spans="1:6" x14ac:dyDescent="0.2">
      <c r="A11">
        <v>9</v>
      </c>
      <c r="B11">
        <v>600</v>
      </c>
      <c r="C11" s="2"/>
    </row>
    <row r="12" spans="1:6" x14ac:dyDescent="0.2">
      <c r="A12">
        <v>10</v>
      </c>
      <c r="B12" s="10">
        <v>535</v>
      </c>
      <c r="C12" s="2"/>
    </row>
    <row r="13" spans="1:6" x14ac:dyDescent="0.2">
      <c r="A13">
        <v>11</v>
      </c>
      <c r="B13">
        <v>372</v>
      </c>
      <c r="C13" s="2"/>
    </row>
    <row r="14" spans="1:6" x14ac:dyDescent="0.2">
      <c r="A14">
        <v>12</v>
      </c>
      <c r="B14">
        <v>323</v>
      </c>
      <c r="C14" s="2"/>
    </row>
    <row r="15" spans="1:6" x14ac:dyDescent="0.2">
      <c r="A15">
        <v>13</v>
      </c>
      <c r="B15">
        <v>572</v>
      </c>
      <c r="C15" s="2"/>
    </row>
    <row r="16" spans="1:6" x14ac:dyDescent="0.2">
      <c r="A16">
        <v>14</v>
      </c>
      <c r="B16">
        <v>493</v>
      </c>
      <c r="C16" s="2"/>
      <c r="F16" s="3"/>
    </row>
    <row r="17" spans="1:3" x14ac:dyDescent="0.2">
      <c r="A17">
        <v>15</v>
      </c>
      <c r="B17">
        <v>393</v>
      </c>
      <c r="C17" s="2"/>
    </row>
    <row r="18" spans="1:3" x14ac:dyDescent="0.2">
      <c r="A18">
        <v>16</v>
      </c>
      <c r="B18">
        <v>542</v>
      </c>
    </row>
    <row r="19" spans="1:3" x14ac:dyDescent="0.2">
      <c r="A19">
        <v>17</v>
      </c>
      <c r="B19">
        <v>341</v>
      </c>
    </row>
    <row r="20" spans="1:3" x14ac:dyDescent="0.2">
      <c r="A20">
        <v>18</v>
      </c>
      <c r="B20">
        <v>587</v>
      </c>
    </row>
    <row r="21" spans="1:3" x14ac:dyDescent="0.2">
      <c r="A21">
        <v>19</v>
      </c>
      <c r="B21">
        <v>624</v>
      </c>
    </row>
    <row r="22" spans="1:3" x14ac:dyDescent="0.2">
      <c r="A22">
        <v>20</v>
      </c>
      <c r="B22">
        <v>0</v>
      </c>
    </row>
    <row r="23" spans="1:3" x14ac:dyDescent="0.2">
      <c r="A23">
        <v>21</v>
      </c>
      <c r="B23">
        <v>516</v>
      </c>
    </row>
    <row r="24" spans="1:3" x14ac:dyDescent="0.2">
      <c r="A24">
        <v>22</v>
      </c>
      <c r="B24">
        <v>226</v>
      </c>
    </row>
    <row r="25" spans="1:3" x14ac:dyDescent="0.2">
      <c r="A25">
        <v>23</v>
      </c>
      <c r="B25">
        <v>331</v>
      </c>
    </row>
    <row r="26" spans="1:3" x14ac:dyDescent="0.2">
      <c r="A26">
        <v>24</v>
      </c>
      <c r="B26">
        <v>200</v>
      </c>
    </row>
    <row r="27" spans="1:3" x14ac:dyDescent="0.2">
      <c r="A27">
        <v>25</v>
      </c>
      <c r="B27">
        <v>256</v>
      </c>
    </row>
    <row r="28" spans="1:3" x14ac:dyDescent="0.2">
      <c r="A28">
        <v>26</v>
      </c>
      <c r="B28">
        <v>0</v>
      </c>
    </row>
    <row r="29" spans="1:3" x14ac:dyDescent="0.2">
      <c r="A29">
        <v>27</v>
      </c>
      <c r="B29">
        <v>392</v>
      </c>
    </row>
    <row r="30" spans="1:3" x14ac:dyDescent="0.2">
      <c r="A30">
        <v>28</v>
      </c>
      <c r="B30">
        <v>633</v>
      </c>
    </row>
    <row r="31" spans="1:3" x14ac:dyDescent="0.2">
      <c r="A31">
        <v>29</v>
      </c>
      <c r="B31">
        <v>300</v>
      </c>
    </row>
    <row r="32" spans="1:3" x14ac:dyDescent="0.2">
      <c r="A32">
        <v>30</v>
      </c>
      <c r="B32">
        <v>106</v>
      </c>
    </row>
    <row r="33" spans="1:3" x14ac:dyDescent="0.2">
      <c r="A33" s="11"/>
    </row>
    <row r="34" spans="1:3" x14ac:dyDescent="0.2">
      <c r="A34" t="s">
        <v>9</v>
      </c>
      <c r="B34">
        <f>SUM(B3:B33)</f>
        <v>12459</v>
      </c>
      <c r="C34">
        <f>SUM(C3:C33)-1000</f>
        <v>3314</v>
      </c>
    </row>
    <row r="35" spans="1:3" x14ac:dyDescent="0.2">
      <c r="A35" t="s">
        <v>11</v>
      </c>
      <c r="B35" s="12">
        <f>B34-C34-B64+F6</f>
        <v>9145</v>
      </c>
    </row>
    <row r="36" spans="1:3" x14ac:dyDescent="0.2">
      <c r="A36" t="s">
        <v>91</v>
      </c>
      <c r="B36" s="1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E02A-161C-E44A-87C0-0AE1A1EFF992}">
  <dimension ref="A1:F36"/>
  <sheetViews>
    <sheetView zoomScaleNormal="100" zoomScaleSheetLayoutView="100" workbookViewId="0">
      <selection activeCell="B3" sqref="B3:B8"/>
    </sheetView>
  </sheetViews>
  <sheetFormatPr defaultRowHeight="15" x14ac:dyDescent="0.2"/>
  <sheetData>
    <row r="1" spans="1:6" x14ac:dyDescent="0.2">
      <c r="D1" s="4">
        <v>45778</v>
      </c>
    </row>
    <row r="2" spans="1:6" x14ac:dyDescent="0.2">
      <c r="B2" t="s">
        <v>8</v>
      </c>
      <c r="C2" t="s">
        <v>10</v>
      </c>
    </row>
    <row r="3" spans="1:6" x14ac:dyDescent="0.2">
      <c r="A3">
        <v>1</v>
      </c>
      <c r="B3">
        <v>0</v>
      </c>
      <c r="C3" s="2">
        <v>3184</v>
      </c>
      <c r="D3" t="s">
        <v>2</v>
      </c>
      <c r="E3" t="s">
        <v>1</v>
      </c>
    </row>
    <row r="4" spans="1:6" x14ac:dyDescent="0.2">
      <c r="A4">
        <v>2</v>
      </c>
      <c r="B4">
        <v>806</v>
      </c>
      <c r="C4" s="2"/>
      <c r="E4" s="1" t="s">
        <v>0</v>
      </c>
    </row>
    <row r="5" spans="1:6" x14ac:dyDescent="0.2">
      <c r="A5">
        <v>3</v>
      </c>
      <c r="B5">
        <v>745</v>
      </c>
      <c r="C5" s="2">
        <v>100</v>
      </c>
      <c r="D5" t="s">
        <v>92</v>
      </c>
      <c r="E5" t="s">
        <v>2</v>
      </c>
    </row>
    <row r="6" spans="1:6" x14ac:dyDescent="0.2">
      <c r="A6">
        <v>4</v>
      </c>
      <c r="B6">
        <v>576</v>
      </c>
      <c r="C6" s="2">
        <v>606</v>
      </c>
      <c r="D6" t="s">
        <v>28</v>
      </c>
      <c r="F6" s="12">
        <f>SUM(F3:F5)</f>
        <v>0</v>
      </c>
    </row>
    <row r="7" spans="1:6" x14ac:dyDescent="0.2">
      <c r="A7">
        <v>5</v>
      </c>
      <c r="B7">
        <v>609</v>
      </c>
      <c r="C7" s="2">
        <v>82</v>
      </c>
      <c r="D7" t="s">
        <v>94</v>
      </c>
    </row>
    <row r="8" spans="1:6" x14ac:dyDescent="0.2">
      <c r="A8">
        <v>6</v>
      </c>
      <c r="B8">
        <v>422</v>
      </c>
      <c r="C8" s="2"/>
    </row>
    <row r="9" spans="1:6" x14ac:dyDescent="0.2">
      <c r="A9">
        <v>7</v>
      </c>
      <c r="B9">
        <v>602</v>
      </c>
      <c r="C9" s="2"/>
    </row>
    <row r="10" spans="1:6" x14ac:dyDescent="0.2">
      <c r="A10">
        <v>8</v>
      </c>
      <c r="B10">
        <v>826</v>
      </c>
      <c r="C10" s="2"/>
    </row>
    <row r="11" spans="1:6" x14ac:dyDescent="0.2">
      <c r="A11">
        <v>9</v>
      </c>
      <c r="B11">
        <v>260</v>
      </c>
      <c r="C11" s="2"/>
    </row>
    <row r="12" spans="1:6" x14ac:dyDescent="0.2">
      <c r="A12">
        <v>10</v>
      </c>
      <c r="B12" s="10">
        <v>1215</v>
      </c>
      <c r="C12" s="2"/>
    </row>
    <row r="13" spans="1:6" x14ac:dyDescent="0.2">
      <c r="A13">
        <v>11</v>
      </c>
      <c r="B13">
        <v>360</v>
      </c>
      <c r="C13" s="2"/>
    </row>
    <row r="14" spans="1:6" x14ac:dyDescent="0.2">
      <c r="A14">
        <v>12</v>
      </c>
      <c r="B14">
        <v>506</v>
      </c>
      <c r="C14" s="2"/>
    </row>
    <row r="15" spans="1:6" x14ac:dyDescent="0.2">
      <c r="A15">
        <v>13</v>
      </c>
      <c r="B15">
        <v>407</v>
      </c>
      <c r="C15" s="2"/>
    </row>
    <row r="16" spans="1:6" x14ac:dyDescent="0.2">
      <c r="A16">
        <v>14</v>
      </c>
      <c r="B16">
        <v>337</v>
      </c>
      <c r="C16" s="2"/>
      <c r="F16" s="3"/>
    </row>
    <row r="17" spans="1:3" x14ac:dyDescent="0.2">
      <c r="A17">
        <v>15</v>
      </c>
      <c r="B17">
        <v>325</v>
      </c>
      <c r="C17" s="2"/>
    </row>
    <row r="18" spans="1:3" x14ac:dyDescent="0.2">
      <c r="A18">
        <v>16</v>
      </c>
      <c r="B18">
        <v>339</v>
      </c>
    </row>
    <row r="19" spans="1:3" x14ac:dyDescent="0.2">
      <c r="A19">
        <v>17</v>
      </c>
      <c r="B19">
        <v>925</v>
      </c>
    </row>
    <row r="20" spans="1:3" x14ac:dyDescent="0.2">
      <c r="A20">
        <v>18</v>
      </c>
      <c r="B20">
        <v>544</v>
      </c>
    </row>
    <row r="21" spans="1:3" x14ac:dyDescent="0.2">
      <c r="A21">
        <v>19</v>
      </c>
      <c r="B21">
        <v>355</v>
      </c>
    </row>
    <row r="22" spans="1:3" x14ac:dyDescent="0.2">
      <c r="A22">
        <v>20</v>
      </c>
      <c r="B22">
        <v>184</v>
      </c>
    </row>
    <row r="23" spans="1:3" x14ac:dyDescent="0.2">
      <c r="A23">
        <v>21</v>
      </c>
      <c r="B23">
        <v>678</v>
      </c>
    </row>
    <row r="24" spans="1:3" x14ac:dyDescent="0.2">
      <c r="A24">
        <v>22</v>
      </c>
      <c r="B24">
        <v>212</v>
      </c>
    </row>
    <row r="25" spans="1:3" x14ac:dyDescent="0.2">
      <c r="A25">
        <v>23</v>
      </c>
      <c r="B25">
        <v>439</v>
      </c>
    </row>
    <row r="26" spans="1:3" x14ac:dyDescent="0.2">
      <c r="A26">
        <v>24</v>
      </c>
      <c r="B26">
        <v>605</v>
      </c>
    </row>
    <row r="27" spans="1:3" x14ac:dyDescent="0.2">
      <c r="A27">
        <v>25</v>
      </c>
      <c r="B27">
        <v>642</v>
      </c>
    </row>
    <row r="28" spans="1:3" x14ac:dyDescent="0.2">
      <c r="A28">
        <v>26</v>
      </c>
      <c r="B28">
        <v>282</v>
      </c>
    </row>
    <row r="29" spans="1:3" x14ac:dyDescent="0.2">
      <c r="A29">
        <v>27</v>
      </c>
      <c r="B29">
        <v>303</v>
      </c>
    </row>
    <row r="30" spans="1:3" x14ac:dyDescent="0.2">
      <c r="A30">
        <v>28</v>
      </c>
      <c r="B30">
        <v>0</v>
      </c>
    </row>
    <row r="31" spans="1:3" x14ac:dyDescent="0.2">
      <c r="A31">
        <v>29</v>
      </c>
      <c r="B31">
        <v>56</v>
      </c>
    </row>
    <row r="32" spans="1:3" x14ac:dyDescent="0.2">
      <c r="A32">
        <v>30</v>
      </c>
      <c r="B32">
        <v>393</v>
      </c>
    </row>
    <row r="33" spans="1:3" x14ac:dyDescent="0.2">
      <c r="A33">
        <v>31</v>
      </c>
      <c r="B33">
        <v>687</v>
      </c>
    </row>
    <row r="34" spans="1:3" x14ac:dyDescent="0.2">
      <c r="A34" t="s">
        <v>9</v>
      </c>
      <c r="B34">
        <f>SUM(B3:B33)</f>
        <v>14640</v>
      </c>
      <c r="C34">
        <f>SUM(C3:C33)</f>
        <v>3972</v>
      </c>
    </row>
    <row r="35" spans="1:3" x14ac:dyDescent="0.2">
      <c r="A35" t="s">
        <v>11</v>
      </c>
      <c r="B35" s="12">
        <f>B34-C34-B64+F6</f>
        <v>10668</v>
      </c>
    </row>
    <row r="36" spans="1:3" x14ac:dyDescent="0.2">
      <c r="A36" t="s">
        <v>91</v>
      </c>
      <c r="B36" s="1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C511-5B23-D24A-9020-76901AA4560D}">
  <dimension ref="A1:F36"/>
  <sheetViews>
    <sheetView zoomScaleNormal="100" zoomScaleSheetLayoutView="100" workbookViewId="0">
      <selection activeCell="D26" sqref="D26"/>
    </sheetView>
  </sheetViews>
  <sheetFormatPr defaultRowHeight="15" x14ac:dyDescent="0.2"/>
  <sheetData>
    <row r="1" spans="1:6" x14ac:dyDescent="0.2">
      <c r="D1" s="4">
        <v>45748</v>
      </c>
    </row>
    <row r="2" spans="1:6" x14ac:dyDescent="0.2">
      <c r="B2" t="s">
        <v>8</v>
      </c>
      <c r="C2" t="s">
        <v>10</v>
      </c>
    </row>
    <row r="3" spans="1:6" x14ac:dyDescent="0.2">
      <c r="A3">
        <v>1</v>
      </c>
      <c r="B3">
        <v>333</v>
      </c>
      <c r="C3" s="2">
        <v>3876</v>
      </c>
      <c r="D3" t="s">
        <v>2</v>
      </c>
      <c r="E3" t="s">
        <v>1</v>
      </c>
    </row>
    <row r="4" spans="1:6" x14ac:dyDescent="0.2">
      <c r="A4">
        <v>2</v>
      </c>
      <c r="B4">
        <v>436</v>
      </c>
      <c r="C4" s="2"/>
      <c r="E4" s="1" t="s">
        <v>0</v>
      </c>
    </row>
    <row r="5" spans="1:6" x14ac:dyDescent="0.2">
      <c r="A5">
        <v>3</v>
      </c>
      <c r="B5">
        <v>500</v>
      </c>
      <c r="C5" s="2">
        <v>100</v>
      </c>
      <c r="D5" t="s">
        <v>92</v>
      </c>
      <c r="E5" t="s">
        <v>2</v>
      </c>
    </row>
    <row r="6" spans="1:6" x14ac:dyDescent="0.2">
      <c r="A6">
        <v>4</v>
      </c>
      <c r="B6">
        <v>422</v>
      </c>
      <c r="C6" s="2">
        <v>489</v>
      </c>
      <c r="D6" t="s">
        <v>28</v>
      </c>
      <c r="F6" s="12">
        <f>SUM(F3:F5)</f>
        <v>0</v>
      </c>
    </row>
    <row r="7" spans="1:6" x14ac:dyDescent="0.2">
      <c r="A7">
        <v>5</v>
      </c>
      <c r="B7">
        <v>825</v>
      </c>
      <c r="C7" s="2">
        <v>82</v>
      </c>
      <c r="D7" t="s">
        <v>94</v>
      </c>
    </row>
    <row r="8" spans="1:6" x14ac:dyDescent="0.2">
      <c r="A8">
        <v>6</v>
      </c>
      <c r="B8">
        <v>794</v>
      </c>
      <c r="C8" s="2"/>
    </row>
    <row r="9" spans="1:6" x14ac:dyDescent="0.2">
      <c r="A9">
        <v>7</v>
      </c>
      <c r="B9">
        <v>541</v>
      </c>
      <c r="C9" s="2"/>
    </row>
    <row r="10" spans="1:6" x14ac:dyDescent="0.2">
      <c r="A10">
        <v>8</v>
      </c>
      <c r="B10">
        <v>0</v>
      </c>
      <c r="C10" s="2"/>
    </row>
    <row r="11" spans="1:6" x14ac:dyDescent="0.2">
      <c r="A11">
        <v>9</v>
      </c>
      <c r="B11">
        <v>639</v>
      </c>
      <c r="C11" s="2"/>
    </row>
    <row r="12" spans="1:6" x14ac:dyDescent="0.2">
      <c r="A12">
        <v>10</v>
      </c>
      <c r="B12" s="10">
        <v>387</v>
      </c>
      <c r="C12" s="2"/>
    </row>
    <row r="13" spans="1:6" x14ac:dyDescent="0.2">
      <c r="A13">
        <v>11</v>
      </c>
      <c r="B13">
        <v>390</v>
      </c>
      <c r="C13" s="2"/>
    </row>
    <row r="14" spans="1:6" x14ac:dyDescent="0.2">
      <c r="A14">
        <v>12</v>
      </c>
      <c r="B14">
        <v>220</v>
      </c>
      <c r="C14" s="2"/>
    </row>
    <row r="15" spans="1:6" x14ac:dyDescent="0.2">
      <c r="A15">
        <v>13</v>
      </c>
      <c r="B15">
        <v>0</v>
      </c>
      <c r="C15" s="2"/>
    </row>
    <row r="16" spans="1:6" x14ac:dyDescent="0.2">
      <c r="A16">
        <v>14</v>
      </c>
      <c r="B16">
        <v>581</v>
      </c>
      <c r="C16" s="2"/>
      <c r="F16" s="3"/>
    </row>
    <row r="17" spans="1:3" x14ac:dyDescent="0.2">
      <c r="A17">
        <v>15</v>
      </c>
      <c r="B17">
        <v>275</v>
      </c>
      <c r="C17" s="2"/>
    </row>
    <row r="18" spans="1:3" x14ac:dyDescent="0.2">
      <c r="A18">
        <v>16</v>
      </c>
      <c r="B18">
        <v>420</v>
      </c>
    </row>
    <row r="19" spans="1:3" x14ac:dyDescent="0.2">
      <c r="A19">
        <v>17</v>
      </c>
      <c r="B19">
        <v>648</v>
      </c>
    </row>
    <row r="20" spans="1:3" x14ac:dyDescent="0.2">
      <c r="A20">
        <v>18</v>
      </c>
      <c r="B20">
        <v>695</v>
      </c>
    </row>
    <row r="21" spans="1:3" x14ac:dyDescent="0.2">
      <c r="A21">
        <v>19</v>
      </c>
      <c r="B21">
        <v>522</v>
      </c>
    </row>
    <row r="22" spans="1:3" x14ac:dyDescent="0.2">
      <c r="A22">
        <v>20</v>
      </c>
      <c r="B22">
        <v>294</v>
      </c>
    </row>
    <row r="23" spans="1:3" x14ac:dyDescent="0.2">
      <c r="A23">
        <v>21</v>
      </c>
      <c r="B23">
        <v>500</v>
      </c>
    </row>
    <row r="24" spans="1:3" x14ac:dyDescent="0.2">
      <c r="A24">
        <v>22</v>
      </c>
      <c r="B24">
        <v>225</v>
      </c>
    </row>
    <row r="25" spans="1:3" x14ac:dyDescent="0.2">
      <c r="A25">
        <v>23</v>
      </c>
      <c r="B25">
        <v>228</v>
      </c>
    </row>
    <row r="26" spans="1:3" x14ac:dyDescent="0.2">
      <c r="A26">
        <v>24</v>
      </c>
      <c r="B26">
        <v>0</v>
      </c>
    </row>
    <row r="27" spans="1:3" x14ac:dyDescent="0.2">
      <c r="A27">
        <v>25</v>
      </c>
      <c r="B27">
        <v>296</v>
      </c>
    </row>
    <row r="28" spans="1:3" x14ac:dyDescent="0.2">
      <c r="A28">
        <v>26</v>
      </c>
      <c r="B28">
        <v>718</v>
      </c>
    </row>
    <row r="29" spans="1:3" x14ac:dyDescent="0.2">
      <c r="A29">
        <v>27</v>
      </c>
      <c r="B29">
        <v>669</v>
      </c>
    </row>
    <row r="30" spans="1:3" x14ac:dyDescent="0.2">
      <c r="A30">
        <v>28</v>
      </c>
      <c r="B30">
        <v>302</v>
      </c>
    </row>
    <row r="31" spans="1:3" x14ac:dyDescent="0.2">
      <c r="A31">
        <v>29</v>
      </c>
      <c r="B31">
        <v>328</v>
      </c>
    </row>
    <row r="32" spans="1:3" x14ac:dyDescent="0.2">
      <c r="A32">
        <v>30</v>
      </c>
      <c r="B32">
        <v>275</v>
      </c>
    </row>
    <row r="34" spans="1:3" x14ac:dyDescent="0.2">
      <c r="A34" t="s">
        <v>9</v>
      </c>
      <c r="B34">
        <f>SUM(B3:B33)</f>
        <v>12463</v>
      </c>
      <c r="C34">
        <f>SUM(C3:C33)</f>
        <v>4547</v>
      </c>
    </row>
    <row r="35" spans="1:3" x14ac:dyDescent="0.2">
      <c r="A35" t="s">
        <v>11</v>
      </c>
      <c r="B35" s="12">
        <f>B34-C34-B64+F6</f>
        <v>7916</v>
      </c>
    </row>
    <row r="36" spans="1:3" x14ac:dyDescent="0.2">
      <c r="A36" t="s">
        <v>91</v>
      </c>
      <c r="B36" s="1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6088-5476-604E-B16A-9D592F9DEA6E}">
  <dimension ref="A1:F36"/>
  <sheetViews>
    <sheetView zoomScaleNormal="100" zoomScaleSheetLayoutView="100" workbookViewId="0">
      <selection activeCell="B4" sqref="B4:B21"/>
    </sheetView>
  </sheetViews>
  <sheetFormatPr defaultRowHeight="15" x14ac:dyDescent="0.2"/>
  <sheetData>
    <row r="1" spans="1:6" x14ac:dyDescent="0.2">
      <c r="D1" s="4">
        <v>45717</v>
      </c>
    </row>
    <row r="2" spans="1:6" x14ac:dyDescent="0.2">
      <c r="B2" t="s">
        <v>8</v>
      </c>
      <c r="C2" t="s">
        <v>10</v>
      </c>
    </row>
    <row r="3" spans="1:6" x14ac:dyDescent="0.2">
      <c r="C3" s="2">
        <v>2367</v>
      </c>
      <c r="D3" t="s">
        <v>2</v>
      </c>
      <c r="E3" t="s">
        <v>1</v>
      </c>
    </row>
    <row r="4" spans="1:6" x14ac:dyDescent="0.2">
      <c r="A4">
        <v>2</v>
      </c>
      <c r="B4">
        <v>515</v>
      </c>
      <c r="C4" s="2">
        <v>476</v>
      </c>
      <c r="D4" t="s">
        <v>2</v>
      </c>
      <c r="E4" s="1" t="s">
        <v>0</v>
      </c>
    </row>
    <row r="5" spans="1:6" x14ac:dyDescent="0.2">
      <c r="A5">
        <v>3</v>
      </c>
      <c r="B5">
        <v>708</v>
      </c>
      <c r="C5" s="2">
        <v>100</v>
      </c>
      <c r="D5" t="s">
        <v>92</v>
      </c>
      <c r="E5" t="s">
        <v>2</v>
      </c>
    </row>
    <row r="6" spans="1:6" x14ac:dyDescent="0.2">
      <c r="A6">
        <v>4</v>
      </c>
      <c r="B6">
        <v>1166</v>
      </c>
      <c r="C6" s="2">
        <v>601</v>
      </c>
      <c r="D6" t="s">
        <v>28</v>
      </c>
      <c r="F6" s="12">
        <f>SUM(F3:F5)</f>
        <v>0</v>
      </c>
    </row>
    <row r="7" spans="1:6" x14ac:dyDescent="0.2">
      <c r="A7">
        <v>5</v>
      </c>
      <c r="B7">
        <v>151</v>
      </c>
      <c r="C7" s="2">
        <v>82</v>
      </c>
      <c r="D7" t="s">
        <v>94</v>
      </c>
    </row>
    <row r="8" spans="1:6" x14ac:dyDescent="0.2">
      <c r="A8">
        <v>6</v>
      </c>
      <c r="B8">
        <v>482</v>
      </c>
      <c r="C8" s="2">
        <v>64</v>
      </c>
    </row>
    <row r="9" spans="1:6" x14ac:dyDescent="0.2">
      <c r="A9">
        <v>7</v>
      </c>
      <c r="B9">
        <v>860</v>
      </c>
      <c r="C9" s="2"/>
    </row>
    <row r="10" spans="1:6" x14ac:dyDescent="0.2">
      <c r="A10">
        <v>8</v>
      </c>
      <c r="B10">
        <v>1642</v>
      </c>
      <c r="C10" s="2"/>
    </row>
    <row r="11" spans="1:6" x14ac:dyDescent="0.2">
      <c r="A11">
        <v>9</v>
      </c>
      <c r="B11">
        <v>538</v>
      </c>
      <c r="C11" s="2"/>
    </row>
    <row r="12" spans="1:6" x14ac:dyDescent="0.2">
      <c r="A12">
        <v>10</v>
      </c>
      <c r="B12" s="10">
        <v>780</v>
      </c>
      <c r="C12" s="2"/>
    </row>
    <row r="13" spans="1:6" x14ac:dyDescent="0.2">
      <c r="A13">
        <v>11</v>
      </c>
      <c r="B13">
        <v>0</v>
      </c>
      <c r="C13" s="2"/>
    </row>
    <row r="14" spans="1:6" x14ac:dyDescent="0.2">
      <c r="A14">
        <v>12</v>
      </c>
      <c r="B14">
        <v>494</v>
      </c>
      <c r="C14" s="2"/>
    </row>
    <row r="15" spans="1:6" x14ac:dyDescent="0.2">
      <c r="A15">
        <v>13</v>
      </c>
      <c r="B15">
        <v>349</v>
      </c>
      <c r="C15" s="2"/>
    </row>
    <row r="16" spans="1:6" x14ac:dyDescent="0.2">
      <c r="A16">
        <v>14</v>
      </c>
      <c r="B16">
        <v>682</v>
      </c>
      <c r="C16" s="2"/>
      <c r="F16" s="3"/>
    </row>
    <row r="17" spans="1:3" x14ac:dyDescent="0.2">
      <c r="A17">
        <v>15</v>
      </c>
      <c r="B17">
        <v>233</v>
      </c>
      <c r="C17" s="2"/>
    </row>
    <row r="18" spans="1:3" x14ac:dyDescent="0.2">
      <c r="A18">
        <v>16</v>
      </c>
      <c r="B18">
        <v>824</v>
      </c>
    </row>
    <row r="19" spans="1:3" x14ac:dyDescent="0.2">
      <c r="A19">
        <v>17</v>
      </c>
      <c r="B19">
        <v>432</v>
      </c>
    </row>
    <row r="20" spans="1:3" x14ac:dyDescent="0.2">
      <c r="A20">
        <v>18</v>
      </c>
      <c r="B20">
        <v>381</v>
      </c>
    </row>
    <row r="21" spans="1:3" x14ac:dyDescent="0.2">
      <c r="A21">
        <v>19</v>
      </c>
      <c r="B21">
        <v>384</v>
      </c>
    </row>
    <row r="22" spans="1:3" x14ac:dyDescent="0.2">
      <c r="A22">
        <v>20</v>
      </c>
      <c r="B22">
        <v>481</v>
      </c>
    </row>
    <row r="23" spans="1:3" x14ac:dyDescent="0.2">
      <c r="A23">
        <v>21</v>
      </c>
      <c r="B23">
        <v>515</v>
      </c>
    </row>
    <row r="24" spans="1:3" x14ac:dyDescent="0.2">
      <c r="A24">
        <v>22</v>
      </c>
      <c r="B24">
        <v>0</v>
      </c>
    </row>
    <row r="25" spans="1:3" x14ac:dyDescent="0.2">
      <c r="A25">
        <v>23</v>
      </c>
      <c r="B25">
        <v>302</v>
      </c>
    </row>
    <row r="26" spans="1:3" x14ac:dyDescent="0.2">
      <c r="A26">
        <v>24</v>
      </c>
      <c r="B26">
        <v>527</v>
      </c>
    </row>
    <row r="27" spans="1:3" x14ac:dyDescent="0.2">
      <c r="A27">
        <v>25</v>
      </c>
      <c r="B27">
        <v>151</v>
      </c>
    </row>
    <row r="28" spans="1:3" x14ac:dyDescent="0.2">
      <c r="A28">
        <v>26</v>
      </c>
      <c r="B28">
        <v>442</v>
      </c>
    </row>
    <row r="29" spans="1:3" x14ac:dyDescent="0.2">
      <c r="A29">
        <v>27</v>
      </c>
      <c r="B29">
        <v>314</v>
      </c>
    </row>
    <row r="30" spans="1:3" x14ac:dyDescent="0.2">
      <c r="A30">
        <v>28</v>
      </c>
      <c r="B30">
        <v>491</v>
      </c>
    </row>
    <row r="31" spans="1:3" x14ac:dyDescent="0.2">
      <c r="A31">
        <v>29</v>
      </c>
      <c r="B31">
        <v>783</v>
      </c>
    </row>
    <row r="32" spans="1:3" x14ac:dyDescent="0.2">
      <c r="A32">
        <v>30</v>
      </c>
      <c r="B32">
        <v>650</v>
      </c>
    </row>
    <row r="33" spans="1:3" x14ac:dyDescent="0.2">
      <c r="A33">
        <v>31</v>
      </c>
      <c r="B33">
        <v>395</v>
      </c>
    </row>
    <row r="34" spans="1:3" x14ac:dyDescent="0.2">
      <c r="A34" t="s">
        <v>9</v>
      </c>
      <c r="B34">
        <f>SUM(B3:B33)</f>
        <v>15672</v>
      </c>
      <c r="C34">
        <f>SUM(C3:C33)</f>
        <v>3690</v>
      </c>
    </row>
    <row r="35" spans="1:3" x14ac:dyDescent="0.2">
      <c r="A35" t="s">
        <v>11</v>
      </c>
      <c r="B35" s="12">
        <f>B34-C34-B64+F6</f>
        <v>11982</v>
      </c>
    </row>
    <row r="36" spans="1:3" x14ac:dyDescent="0.2">
      <c r="A36" t="s">
        <v>91</v>
      </c>
      <c r="B36" s="1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467E-B29C-E347-8F9F-E73ED264FE65}">
  <dimension ref="A2:F37"/>
  <sheetViews>
    <sheetView topLeftCell="A3" zoomScaleNormal="100" zoomScaleSheetLayoutView="100" workbookViewId="0">
      <selection activeCell="B38" sqref="B38"/>
    </sheetView>
  </sheetViews>
  <sheetFormatPr defaultRowHeight="15" x14ac:dyDescent="0.2"/>
  <sheetData>
    <row r="2" spans="1:6" x14ac:dyDescent="0.2">
      <c r="D2" s="4">
        <v>45689</v>
      </c>
    </row>
    <row r="3" spans="1:6" x14ac:dyDescent="0.2">
      <c r="B3" t="s">
        <v>8</v>
      </c>
      <c r="C3" t="s">
        <v>10</v>
      </c>
    </row>
    <row r="4" spans="1:6" x14ac:dyDescent="0.2">
      <c r="A4">
        <v>1</v>
      </c>
      <c r="B4">
        <v>492</v>
      </c>
      <c r="C4" s="2">
        <v>4862</v>
      </c>
      <c r="D4" t="s">
        <v>77</v>
      </c>
      <c r="E4" t="s">
        <v>1</v>
      </c>
    </row>
    <row r="5" spans="1:6" x14ac:dyDescent="0.2">
      <c r="A5">
        <v>2</v>
      </c>
      <c r="B5">
        <v>0</v>
      </c>
      <c r="C5" s="2">
        <v>686</v>
      </c>
      <c r="D5" t="s">
        <v>28</v>
      </c>
      <c r="E5" s="1" t="s">
        <v>0</v>
      </c>
    </row>
    <row r="6" spans="1:6" x14ac:dyDescent="0.2">
      <c r="A6">
        <v>3</v>
      </c>
      <c r="B6">
        <v>765</v>
      </c>
      <c r="C6" s="2">
        <v>290</v>
      </c>
      <c r="D6" t="s">
        <v>24</v>
      </c>
      <c r="E6" t="s">
        <v>2</v>
      </c>
    </row>
    <row r="7" spans="1:6" x14ac:dyDescent="0.2">
      <c r="A7">
        <v>4</v>
      </c>
      <c r="B7">
        <v>815</v>
      </c>
      <c r="C7" s="2">
        <v>100</v>
      </c>
      <c r="D7" t="s">
        <v>92</v>
      </c>
      <c r="F7" s="12">
        <f>SUM(F4:F6)</f>
        <v>0</v>
      </c>
    </row>
    <row r="8" spans="1:6" x14ac:dyDescent="0.2">
      <c r="A8">
        <v>5</v>
      </c>
      <c r="B8">
        <v>519</v>
      </c>
      <c r="C8" s="2">
        <v>58</v>
      </c>
      <c r="D8" t="s">
        <v>93</v>
      </c>
    </row>
    <row r="9" spans="1:6" x14ac:dyDescent="0.2">
      <c r="A9">
        <v>6</v>
      </c>
      <c r="B9">
        <v>707</v>
      </c>
      <c r="C9" s="2"/>
    </row>
    <row r="10" spans="1:6" x14ac:dyDescent="0.2">
      <c r="A10">
        <v>7</v>
      </c>
      <c r="B10">
        <v>571</v>
      </c>
      <c r="C10" s="2"/>
    </row>
    <row r="11" spans="1:6" x14ac:dyDescent="0.2">
      <c r="A11">
        <v>8</v>
      </c>
      <c r="B11">
        <v>1009</v>
      </c>
      <c r="C11" s="2"/>
    </row>
    <row r="12" spans="1:6" x14ac:dyDescent="0.2">
      <c r="A12">
        <v>9</v>
      </c>
      <c r="B12">
        <v>190</v>
      </c>
      <c r="C12" s="2"/>
    </row>
    <row r="13" spans="1:6" x14ac:dyDescent="0.2">
      <c r="A13">
        <v>10</v>
      </c>
      <c r="B13" s="10">
        <v>513</v>
      </c>
      <c r="C13" s="2"/>
    </row>
    <row r="14" spans="1:6" x14ac:dyDescent="0.2">
      <c r="A14">
        <v>11</v>
      </c>
      <c r="B14">
        <v>765</v>
      </c>
      <c r="C14" s="2"/>
    </row>
    <row r="15" spans="1:6" x14ac:dyDescent="0.2">
      <c r="A15">
        <v>12</v>
      </c>
      <c r="B15">
        <v>509</v>
      </c>
      <c r="C15" s="2"/>
    </row>
    <row r="16" spans="1:6" x14ac:dyDescent="0.2">
      <c r="A16">
        <v>13</v>
      </c>
      <c r="B16">
        <v>500</v>
      </c>
      <c r="C16" s="2"/>
    </row>
    <row r="17" spans="1:6" x14ac:dyDescent="0.2">
      <c r="A17">
        <v>14</v>
      </c>
      <c r="B17">
        <v>571</v>
      </c>
      <c r="C17" s="2"/>
      <c r="F17" s="3"/>
    </row>
    <row r="18" spans="1:6" x14ac:dyDescent="0.2">
      <c r="A18">
        <v>15</v>
      </c>
      <c r="B18">
        <v>802</v>
      </c>
      <c r="C18" s="2"/>
    </row>
    <row r="19" spans="1:6" x14ac:dyDescent="0.2">
      <c r="A19">
        <v>16</v>
      </c>
      <c r="B19">
        <v>668</v>
      </c>
    </row>
    <row r="20" spans="1:6" x14ac:dyDescent="0.2">
      <c r="A20">
        <v>17</v>
      </c>
      <c r="B20">
        <v>429</v>
      </c>
    </row>
    <row r="21" spans="1:6" x14ac:dyDescent="0.2">
      <c r="A21">
        <v>18</v>
      </c>
      <c r="B21">
        <v>463</v>
      </c>
    </row>
    <row r="22" spans="1:6" x14ac:dyDescent="0.2">
      <c r="A22">
        <v>19</v>
      </c>
      <c r="B22">
        <v>364</v>
      </c>
    </row>
    <row r="23" spans="1:6" x14ac:dyDescent="0.2">
      <c r="A23">
        <v>20</v>
      </c>
      <c r="B23">
        <v>532</v>
      </c>
    </row>
    <row r="24" spans="1:6" x14ac:dyDescent="0.2">
      <c r="A24">
        <v>21</v>
      </c>
      <c r="B24">
        <v>209</v>
      </c>
    </row>
    <row r="25" spans="1:6" x14ac:dyDescent="0.2">
      <c r="A25">
        <v>22</v>
      </c>
      <c r="B25">
        <v>782</v>
      </c>
    </row>
    <row r="26" spans="1:6" x14ac:dyDescent="0.2">
      <c r="A26">
        <v>23</v>
      </c>
      <c r="B26">
        <v>514</v>
      </c>
    </row>
    <row r="27" spans="1:6" x14ac:dyDescent="0.2">
      <c r="A27">
        <v>24</v>
      </c>
      <c r="B27">
        <v>603</v>
      </c>
    </row>
    <row r="28" spans="1:6" x14ac:dyDescent="0.2">
      <c r="A28">
        <v>25</v>
      </c>
      <c r="B28">
        <v>727</v>
      </c>
    </row>
    <row r="29" spans="1:6" x14ac:dyDescent="0.2">
      <c r="A29">
        <v>26</v>
      </c>
      <c r="B29">
        <v>242</v>
      </c>
    </row>
    <row r="30" spans="1:6" x14ac:dyDescent="0.2">
      <c r="A30">
        <v>27</v>
      </c>
      <c r="B30">
        <v>524</v>
      </c>
    </row>
    <row r="31" spans="1:6" x14ac:dyDescent="0.2">
      <c r="A31">
        <v>28</v>
      </c>
      <c r="B31">
        <v>551</v>
      </c>
    </row>
    <row r="32" spans="1:6" x14ac:dyDescent="0.2">
      <c r="A32" s="11">
        <v>45717</v>
      </c>
      <c r="B32">
        <v>1074</v>
      </c>
    </row>
    <row r="35" spans="1:3" x14ac:dyDescent="0.2">
      <c r="A35" t="s">
        <v>9</v>
      </c>
      <c r="B35">
        <f>SUM(B4:B34)</f>
        <v>16410</v>
      </c>
      <c r="C35">
        <f>SUM(C4:C34)-1000</f>
        <v>4996</v>
      </c>
    </row>
    <row r="36" spans="1:3" x14ac:dyDescent="0.2">
      <c r="A36" t="s">
        <v>11</v>
      </c>
      <c r="B36" s="12">
        <f>B35-C35-B65+F7</f>
        <v>11414</v>
      </c>
    </row>
    <row r="37" spans="1:3" x14ac:dyDescent="0.2">
      <c r="A37" t="s">
        <v>91</v>
      </c>
      <c r="B37" s="1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71B1-B7A8-A240-BE30-FF0555E1351C}">
  <dimension ref="A2:F38"/>
  <sheetViews>
    <sheetView zoomScaleNormal="100" zoomScaleSheetLayoutView="100" workbookViewId="0">
      <selection activeCell="B4" sqref="B4:B11"/>
    </sheetView>
  </sheetViews>
  <sheetFormatPr defaultRowHeight="15" x14ac:dyDescent="0.2"/>
  <sheetData>
    <row r="2" spans="1:6" x14ac:dyDescent="0.2">
      <c r="D2" s="4">
        <v>45658</v>
      </c>
    </row>
    <row r="3" spans="1:6" x14ac:dyDescent="0.2">
      <c r="B3" t="s">
        <v>8</v>
      </c>
      <c r="C3" t="s">
        <v>10</v>
      </c>
    </row>
    <row r="4" spans="1:6" x14ac:dyDescent="0.2">
      <c r="A4">
        <v>1</v>
      </c>
      <c r="B4">
        <v>0</v>
      </c>
      <c r="C4" s="2">
        <v>5137</v>
      </c>
      <c r="D4" t="s">
        <v>77</v>
      </c>
      <c r="E4" t="s">
        <v>1</v>
      </c>
    </row>
    <row r="5" spans="1:6" x14ac:dyDescent="0.2">
      <c r="A5">
        <v>2</v>
      </c>
      <c r="B5">
        <v>0</v>
      </c>
      <c r="C5" s="2">
        <v>427</v>
      </c>
      <c r="D5" t="s">
        <v>28</v>
      </c>
      <c r="E5" s="1" t="s">
        <v>0</v>
      </c>
    </row>
    <row r="6" spans="1:6" x14ac:dyDescent="0.2">
      <c r="A6">
        <v>3</v>
      </c>
      <c r="B6">
        <v>1015</v>
      </c>
      <c r="C6" s="2"/>
      <c r="E6" t="s">
        <v>2</v>
      </c>
    </row>
    <row r="7" spans="1:6" x14ac:dyDescent="0.2">
      <c r="A7">
        <v>4</v>
      </c>
      <c r="B7">
        <v>711</v>
      </c>
      <c r="C7" s="2"/>
      <c r="F7" s="12">
        <f>SUM(F4:F6)</f>
        <v>0</v>
      </c>
    </row>
    <row r="8" spans="1:6" x14ac:dyDescent="0.2">
      <c r="A8">
        <v>5</v>
      </c>
      <c r="B8">
        <v>978</v>
      </c>
      <c r="C8" s="2"/>
    </row>
    <row r="9" spans="1:6" x14ac:dyDescent="0.2">
      <c r="A9">
        <v>6</v>
      </c>
      <c r="B9">
        <v>908</v>
      </c>
      <c r="C9" s="2"/>
    </row>
    <row r="10" spans="1:6" x14ac:dyDescent="0.2">
      <c r="A10">
        <v>7</v>
      </c>
      <c r="B10">
        <v>1105</v>
      </c>
      <c r="C10" s="2"/>
    </row>
    <row r="11" spans="1:6" x14ac:dyDescent="0.2">
      <c r="A11">
        <v>8</v>
      </c>
      <c r="B11">
        <v>796</v>
      </c>
      <c r="C11" s="2"/>
    </row>
    <row r="12" spans="1:6" x14ac:dyDescent="0.2">
      <c r="A12">
        <v>9</v>
      </c>
      <c r="B12">
        <v>805</v>
      </c>
      <c r="C12" s="2"/>
    </row>
    <row r="13" spans="1:6" x14ac:dyDescent="0.2">
      <c r="A13">
        <v>10</v>
      </c>
      <c r="B13" s="10">
        <v>992</v>
      </c>
      <c r="C13" s="2"/>
    </row>
    <row r="14" spans="1:6" x14ac:dyDescent="0.2">
      <c r="A14">
        <v>11</v>
      </c>
      <c r="B14">
        <v>1257</v>
      </c>
      <c r="C14" s="2"/>
    </row>
    <row r="15" spans="1:6" x14ac:dyDescent="0.2">
      <c r="A15">
        <v>12</v>
      </c>
      <c r="B15">
        <v>609</v>
      </c>
      <c r="C15" s="2"/>
    </row>
    <row r="16" spans="1:6" x14ac:dyDescent="0.2">
      <c r="A16">
        <v>13</v>
      </c>
      <c r="B16">
        <v>525</v>
      </c>
      <c r="C16" s="2"/>
    </row>
    <row r="17" spans="1:6" x14ac:dyDescent="0.2">
      <c r="A17">
        <v>14</v>
      </c>
      <c r="B17">
        <v>751</v>
      </c>
      <c r="C17" s="2"/>
      <c r="F17" s="3"/>
    </row>
    <row r="18" spans="1:6" x14ac:dyDescent="0.2">
      <c r="A18">
        <v>15</v>
      </c>
      <c r="B18">
        <v>856</v>
      </c>
      <c r="C18" s="2"/>
    </row>
    <row r="19" spans="1:6" x14ac:dyDescent="0.2">
      <c r="A19">
        <v>16</v>
      </c>
      <c r="B19">
        <v>1068</v>
      </c>
    </row>
    <row r="20" spans="1:6" x14ac:dyDescent="0.2">
      <c r="A20">
        <v>17</v>
      </c>
      <c r="B20">
        <v>867</v>
      </c>
    </row>
    <row r="21" spans="1:6" x14ac:dyDescent="0.2">
      <c r="A21">
        <v>18</v>
      </c>
      <c r="B21">
        <v>926</v>
      </c>
    </row>
    <row r="22" spans="1:6" x14ac:dyDescent="0.2">
      <c r="A22">
        <v>19</v>
      </c>
      <c r="B22">
        <v>738</v>
      </c>
    </row>
    <row r="23" spans="1:6" x14ac:dyDescent="0.2">
      <c r="A23">
        <v>20</v>
      </c>
      <c r="B23">
        <v>598</v>
      </c>
    </row>
    <row r="24" spans="1:6" x14ac:dyDescent="0.2">
      <c r="A24">
        <v>21</v>
      </c>
      <c r="B24">
        <v>607</v>
      </c>
    </row>
    <row r="25" spans="1:6" x14ac:dyDescent="0.2">
      <c r="A25">
        <v>22</v>
      </c>
      <c r="B25">
        <v>498</v>
      </c>
    </row>
    <row r="26" spans="1:6" x14ac:dyDescent="0.2">
      <c r="A26">
        <v>23</v>
      </c>
      <c r="B26">
        <v>448</v>
      </c>
    </row>
    <row r="27" spans="1:6" x14ac:dyDescent="0.2">
      <c r="A27">
        <v>24</v>
      </c>
      <c r="B27">
        <v>1019</v>
      </c>
    </row>
    <row r="28" spans="1:6" x14ac:dyDescent="0.2">
      <c r="A28">
        <v>25</v>
      </c>
      <c r="B28">
        <v>488</v>
      </c>
    </row>
    <row r="29" spans="1:6" x14ac:dyDescent="0.2">
      <c r="A29">
        <v>26</v>
      </c>
      <c r="B29">
        <v>0</v>
      </c>
    </row>
    <row r="30" spans="1:6" x14ac:dyDescent="0.2">
      <c r="A30">
        <v>27</v>
      </c>
      <c r="B30">
        <v>312</v>
      </c>
    </row>
    <row r="31" spans="1:6" x14ac:dyDescent="0.2">
      <c r="A31">
        <v>28</v>
      </c>
      <c r="B31">
        <v>425</v>
      </c>
    </row>
    <row r="32" spans="1:6" x14ac:dyDescent="0.2">
      <c r="A32">
        <v>29</v>
      </c>
      <c r="B32">
        <v>450</v>
      </c>
    </row>
    <row r="33" spans="1:3" x14ac:dyDescent="0.2">
      <c r="A33">
        <v>30</v>
      </c>
      <c r="B33">
        <v>671</v>
      </c>
    </row>
    <row r="34" spans="1:3" x14ac:dyDescent="0.2">
      <c r="A34">
        <v>31</v>
      </c>
      <c r="B34">
        <v>528</v>
      </c>
    </row>
    <row r="35" spans="1:3" x14ac:dyDescent="0.2">
      <c r="A35" t="s">
        <v>9</v>
      </c>
      <c r="B35">
        <f>SUM(B4:B34)</f>
        <v>20951</v>
      </c>
      <c r="C35">
        <f>SUM(C4:C34)</f>
        <v>5564</v>
      </c>
    </row>
    <row r="36" spans="1:3" x14ac:dyDescent="0.2">
      <c r="A36" t="s">
        <v>11</v>
      </c>
      <c r="B36" s="12">
        <f>B35-C35-B65+F7</f>
        <v>15387</v>
      </c>
    </row>
    <row r="37" spans="1:3" x14ac:dyDescent="0.2">
      <c r="A37" t="s">
        <v>91</v>
      </c>
      <c r="B37" s="12"/>
    </row>
    <row r="38" spans="1:3" x14ac:dyDescent="0.2">
      <c r="B38" s="1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E435-A4CA-F74C-BB93-E1EBE5682884}">
  <dimension ref="A2:F38"/>
  <sheetViews>
    <sheetView zoomScaleNormal="100" zoomScaleSheetLayoutView="100" workbookViewId="0">
      <selection activeCell="B4" sqref="B4:B28"/>
    </sheetView>
  </sheetViews>
  <sheetFormatPr defaultRowHeight="15" x14ac:dyDescent="0.2"/>
  <sheetData>
    <row r="2" spans="1:6" x14ac:dyDescent="0.2">
      <c r="D2" s="4">
        <v>45627</v>
      </c>
    </row>
    <row r="3" spans="1:6" x14ac:dyDescent="0.2">
      <c r="B3" t="s">
        <v>8</v>
      </c>
      <c r="C3" t="s">
        <v>10</v>
      </c>
    </row>
    <row r="4" spans="1:6" x14ac:dyDescent="0.2">
      <c r="B4">
        <v>1107</v>
      </c>
      <c r="C4" s="2">
        <v>3944</v>
      </c>
      <c r="D4" t="s">
        <v>77</v>
      </c>
      <c r="E4" t="s">
        <v>1</v>
      </c>
    </row>
    <row r="5" spans="1:6" x14ac:dyDescent="0.2">
      <c r="A5">
        <v>2</v>
      </c>
      <c r="B5">
        <v>408</v>
      </c>
      <c r="C5" s="2">
        <v>411</v>
      </c>
      <c r="D5" t="s">
        <v>28</v>
      </c>
      <c r="E5" s="1" t="s">
        <v>0</v>
      </c>
    </row>
    <row r="6" spans="1:6" x14ac:dyDescent="0.2">
      <c r="A6">
        <v>3</v>
      </c>
      <c r="B6">
        <v>385</v>
      </c>
      <c r="C6" s="2">
        <v>180</v>
      </c>
      <c r="D6" t="s">
        <v>82</v>
      </c>
      <c r="E6" t="s">
        <v>2</v>
      </c>
    </row>
    <row r="7" spans="1:6" x14ac:dyDescent="0.2">
      <c r="A7">
        <v>4</v>
      </c>
      <c r="B7">
        <v>400</v>
      </c>
      <c r="C7" s="2"/>
      <c r="F7" s="12">
        <f>SUM(F4:F6)</f>
        <v>0</v>
      </c>
    </row>
    <row r="8" spans="1:6" x14ac:dyDescent="0.2">
      <c r="A8">
        <v>5</v>
      </c>
      <c r="B8">
        <v>541</v>
      </c>
      <c r="C8" s="2"/>
    </row>
    <row r="9" spans="1:6" x14ac:dyDescent="0.2">
      <c r="A9">
        <v>6</v>
      </c>
      <c r="B9">
        <v>630</v>
      </c>
      <c r="C9" s="2"/>
    </row>
    <row r="10" spans="1:6" x14ac:dyDescent="0.2">
      <c r="A10">
        <v>7</v>
      </c>
      <c r="B10">
        <v>244</v>
      </c>
      <c r="C10" s="2"/>
    </row>
    <row r="11" spans="1:6" x14ac:dyDescent="0.2">
      <c r="A11">
        <v>8</v>
      </c>
      <c r="B11">
        <v>0</v>
      </c>
      <c r="C11" s="2"/>
    </row>
    <row r="12" spans="1:6" x14ac:dyDescent="0.2">
      <c r="A12">
        <v>9</v>
      </c>
      <c r="B12">
        <v>416</v>
      </c>
      <c r="C12" s="2"/>
    </row>
    <row r="13" spans="1:6" x14ac:dyDescent="0.2">
      <c r="A13">
        <v>10</v>
      </c>
      <c r="B13" s="10">
        <v>786</v>
      </c>
      <c r="C13" s="2"/>
    </row>
    <row r="14" spans="1:6" x14ac:dyDescent="0.2">
      <c r="A14">
        <v>11</v>
      </c>
      <c r="B14">
        <v>900</v>
      </c>
      <c r="C14" s="2"/>
    </row>
    <row r="15" spans="1:6" x14ac:dyDescent="0.2">
      <c r="A15">
        <v>12</v>
      </c>
      <c r="B15">
        <v>705</v>
      </c>
      <c r="C15" s="2"/>
    </row>
    <row r="16" spans="1:6" x14ac:dyDescent="0.2">
      <c r="A16">
        <v>13</v>
      </c>
      <c r="B16">
        <v>470</v>
      </c>
      <c r="C16" s="2"/>
    </row>
    <row r="17" spans="1:6" x14ac:dyDescent="0.2">
      <c r="A17">
        <v>14</v>
      </c>
      <c r="B17">
        <v>1303</v>
      </c>
      <c r="C17" s="2"/>
      <c r="F17" s="3"/>
    </row>
    <row r="18" spans="1:6" x14ac:dyDescent="0.2">
      <c r="A18">
        <v>15</v>
      </c>
      <c r="B18">
        <v>1144</v>
      </c>
      <c r="C18" s="2"/>
    </row>
    <row r="19" spans="1:6" x14ac:dyDescent="0.2">
      <c r="A19">
        <v>16</v>
      </c>
      <c r="B19">
        <v>1474</v>
      </c>
    </row>
    <row r="20" spans="1:6" x14ac:dyDescent="0.2">
      <c r="A20">
        <v>17</v>
      </c>
      <c r="B20">
        <v>967</v>
      </c>
    </row>
    <row r="21" spans="1:6" x14ac:dyDescent="0.2">
      <c r="A21">
        <v>18</v>
      </c>
      <c r="B21">
        <v>906</v>
      </c>
    </row>
    <row r="22" spans="1:6" x14ac:dyDescent="0.2">
      <c r="A22">
        <v>19</v>
      </c>
      <c r="B22">
        <v>358</v>
      </c>
    </row>
    <row r="23" spans="1:6" x14ac:dyDescent="0.2">
      <c r="A23">
        <v>20</v>
      </c>
      <c r="B23">
        <v>1079</v>
      </c>
    </row>
    <row r="24" spans="1:6" x14ac:dyDescent="0.2">
      <c r="A24">
        <v>21</v>
      </c>
      <c r="B24">
        <v>1707</v>
      </c>
    </row>
    <row r="25" spans="1:6" x14ac:dyDescent="0.2">
      <c r="A25">
        <v>22</v>
      </c>
      <c r="B25">
        <v>1233</v>
      </c>
    </row>
    <row r="26" spans="1:6" x14ac:dyDescent="0.2">
      <c r="A26">
        <v>23</v>
      </c>
      <c r="B26">
        <v>1400</v>
      </c>
    </row>
    <row r="27" spans="1:6" x14ac:dyDescent="0.2">
      <c r="A27">
        <v>24</v>
      </c>
      <c r="B27">
        <v>921</v>
      </c>
    </row>
    <row r="28" spans="1:6" x14ac:dyDescent="0.2">
      <c r="A28">
        <v>25</v>
      </c>
      <c r="B28">
        <v>0</v>
      </c>
    </row>
    <row r="29" spans="1:6" x14ac:dyDescent="0.2">
      <c r="A29">
        <v>26</v>
      </c>
      <c r="B29">
        <v>1016</v>
      </c>
    </row>
    <row r="30" spans="1:6" x14ac:dyDescent="0.2">
      <c r="A30">
        <v>27</v>
      </c>
      <c r="B30">
        <v>796</v>
      </c>
    </row>
    <row r="31" spans="1:6" x14ac:dyDescent="0.2">
      <c r="A31">
        <v>28</v>
      </c>
      <c r="B31">
        <v>957</v>
      </c>
    </row>
    <row r="32" spans="1:6" x14ac:dyDescent="0.2">
      <c r="A32">
        <v>29</v>
      </c>
      <c r="B32">
        <v>788</v>
      </c>
    </row>
    <row r="33" spans="1:3" x14ac:dyDescent="0.2">
      <c r="A33">
        <v>30</v>
      </c>
      <c r="B33">
        <v>860</v>
      </c>
    </row>
    <row r="34" spans="1:3" x14ac:dyDescent="0.2">
      <c r="A34">
        <v>31</v>
      </c>
      <c r="B34">
        <v>645</v>
      </c>
    </row>
    <row r="35" spans="1:3" x14ac:dyDescent="0.2">
      <c r="A35" t="s">
        <v>9</v>
      </c>
      <c r="B35">
        <f>SUM(B4:B34)</f>
        <v>24546</v>
      </c>
      <c r="C35">
        <f>SUM(C4:C34)</f>
        <v>4535</v>
      </c>
    </row>
    <row r="36" spans="1:3" x14ac:dyDescent="0.2">
      <c r="A36" t="s">
        <v>11</v>
      </c>
      <c r="B36" s="12">
        <f>B35-C35-B65+F7</f>
        <v>20011</v>
      </c>
    </row>
    <row r="37" spans="1:3" x14ac:dyDescent="0.2">
      <c r="A37" t="s">
        <v>50</v>
      </c>
      <c r="B37" s="12"/>
    </row>
    <row r="38" spans="1:3" x14ac:dyDescent="0.2">
      <c r="B38" s="1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8D99-245C-A840-9E5D-8A96888A5BB6}">
  <dimension ref="A2:F38"/>
  <sheetViews>
    <sheetView zoomScaleNormal="100" zoomScaleSheetLayoutView="100" workbookViewId="0">
      <selection activeCell="F24" sqref="F24"/>
    </sheetView>
  </sheetViews>
  <sheetFormatPr defaultRowHeight="15" x14ac:dyDescent="0.2"/>
  <sheetData>
    <row r="2" spans="1:6" x14ac:dyDescent="0.2">
      <c r="D2" s="4">
        <v>45597</v>
      </c>
    </row>
    <row r="3" spans="1:6" x14ac:dyDescent="0.2">
      <c r="B3" t="s">
        <v>8</v>
      </c>
      <c r="C3" t="s">
        <v>10</v>
      </c>
    </row>
    <row r="4" spans="1:6" x14ac:dyDescent="0.2">
      <c r="A4">
        <v>1</v>
      </c>
      <c r="B4">
        <v>548</v>
      </c>
      <c r="C4" s="2">
        <v>4472</v>
      </c>
      <c r="D4" t="s">
        <v>77</v>
      </c>
      <c r="E4" t="s">
        <v>1</v>
      </c>
    </row>
    <row r="5" spans="1:6" x14ac:dyDescent="0.2">
      <c r="A5">
        <v>2</v>
      </c>
      <c r="B5">
        <v>0</v>
      </c>
      <c r="C5" s="2">
        <v>239.46</v>
      </c>
      <c r="D5" t="s">
        <v>28</v>
      </c>
      <c r="E5" s="1" t="s">
        <v>0</v>
      </c>
    </row>
    <row r="6" spans="1:6" x14ac:dyDescent="0.2">
      <c r="A6">
        <v>3</v>
      </c>
      <c r="B6">
        <v>651</v>
      </c>
      <c r="C6" s="2">
        <v>62</v>
      </c>
      <c r="E6" t="s">
        <v>2</v>
      </c>
    </row>
    <row r="7" spans="1:6" x14ac:dyDescent="0.2">
      <c r="A7">
        <v>4</v>
      </c>
      <c r="B7">
        <v>526</v>
      </c>
      <c r="C7" s="2"/>
      <c r="F7" s="12">
        <f>SUM(F4:F6)</f>
        <v>0</v>
      </c>
    </row>
    <row r="8" spans="1:6" x14ac:dyDescent="0.2">
      <c r="A8">
        <v>5</v>
      </c>
      <c r="B8">
        <v>340</v>
      </c>
      <c r="C8" s="2"/>
    </row>
    <row r="9" spans="1:6" x14ac:dyDescent="0.2">
      <c r="A9">
        <v>6</v>
      </c>
      <c r="B9">
        <v>564</v>
      </c>
      <c r="C9" s="2"/>
    </row>
    <row r="10" spans="1:6" x14ac:dyDescent="0.2">
      <c r="A10">
        <v>7</v>
      </c>
      <c r="B10">
        <v>0</v>
      </c>
      <c r="C10" s="2"/>
    </row>
    <row r="11" spans="1:6" x14ac:dyDescent="0.2">
      <c r="A11">
        <v>8</v>
      </c>
      <c r="B11">
        <v>637</v>
      </c>
      <c r="C11" s="2"/>
    </row>
    <row r="12" spans="1:6" x14ac:dyDescent="0.2">
      <c r="A12">
        <v>9</v>
      </c>
      <c r="B12">
        <v>1748</v>
      </c>
      <c r="C12" s="2"/>
    </row>
    <row r="13" spans="1:6" x14ac:dyDescent="0.2">
      <c r="A13">
        <v>10</v>
      </c>
      <c r="B13" s="10">
        <v>612</v>
      </c>
      <c r="C13" s="2"/>
    </row>
    <row r="14" spans="1:6" x14ac:dyDescent="0.2">
      <c r="A14">
        <v>11</v>
      </c>
      <c r="B14">
        <v>139</v>
      </c>
      <c r="C14" s="2"/>
    </row>
    <row r="15" spans="1:6" x14ac:dyDescent="0.2">
      <c r="A15">
        <v>12</v>
      </c>
      <c r="B15">
        <v>354</v>
      </c>
      <c r="C15" s="2"/>
    </row>
    <row r="16" spans="1:6" x14ac:dyDescent="0.2">
      <c r="A16">
        <v>13</v>
      </c>
      <c r="B16">
        <v>1131</v>
      </c>
      <c r="C16" s="2"/>
    </row>
    <row r="17" spans="1:6" x14ac:dyDescent="0.2">
      <c r="A17">
        <v>14</v>
      </c>
      <c r="B17">
        <v>927</v>
      </c>
      <c r="C17" s="2"/>
      <c r="F17" s="3"/>
    </row>
    <row r="18" spans="1:6" x14ac:dyDescent="0.2">
      <c r="A18">
        <v>15</v>
      </c>
      <c r="B18">
        <v>660</v>
      </c>
      <c r="C18" s="2"/>
    </row>
    <row r="19" spans="1:6" x14ac:dyDescent="0.2">
      <c r="A19">
        <v>16</v>
      </c>
      <c r="B19">
        <v>0</v>
      </c>
    </row>
    <row r="20" spans="1:6" x14ac:dyDescent="0.2">
      <c r="A20">
        <v>17</v>
      </c>
      <c r="B20">
        <v>625</v>
      </c>
    </row>
    <row r="21" spans="1:6" x14ac:dyDescent="0.2">
      <c r="A21">
        <v>18</v>
      </c>
      <c r="B21">
        <v>615</v>
      </c>
    </row>
    <row r="22" spans="1:6" x14ac:dyDescent="0.2">
      <c r="A22">
        <v>19</v>
      </c>
      <c r="B22">
        <v>702</v>
      </c>
    </row>
    <row r="23" spans="1:6" x14ac:dyDescent="0.2">
      <c r="A23">
        <v>20</v>
      </c>
      <c r="B23">
        <v>916</v>
      </c>
    </row>
    <row r="24" spans="1:6" x14ac:dyDescent="0.2">
      <c r="A24">
        <v>21</v>
      </c>
      <c r="B24">
        <v>0</v>
      </c>
    </row>
    <row r="25" spans="1:6" x14ac:dyDescent="0.2">
      <c r="A25">
        <v>22</v>
      </c>
      <c r="B25">
        <v>300</v>
      </c>
    </row>
    <row r="26" spans="1:6" x14ac:dyDescent="0.2">
      <c r="A26">
        <v>23</v>
      </c>
      <c r="B26">
        <v>624</v>
      </c>
    </row>
    <row r="27" spans="1:6" x14ac:dyDescent="0.2">
      <c r="A27">
        <v>24</v>
      </c>
      <c r="B27">
        <v>791</v>
      </c>
    </row>
    <row r="28" spans="1:6" x14ac:dyDescent="0.2">
      <c r="A28">
        <v>25</v>
      </c>
      <c r="B28">
        <v>617</v>
      </c>
    </row>
    <row r="29" spans="1:6" x14ac:dyDescent="0.2">
      <c r="A29">
        <v>26</v>
      </c>
      <c r="B29">
        <v>553</v>
      </c>
    </row>
    <row r="30" spans="1:6" x14ac:dyDescent="0.2">
      <c r="A30">
        <v>27</v>
      </c>
      <c r="B30">
        <v>521</v>
      </c>
    </row>
    <row r="31" spans="1:6" x14ac:dyDescent="0.2">
      <c r="A31">
        <v>28</v>
      </c>
      <c r="B31">
        <v>139</v>
      </c>
    </row>
    <row r="32" spans="1:6" x14ac:dyDescent="0.2">
      <c r="A32">
        <v>29</v>
      </c>
      <c r="B32">
        <v>540</v>
      </c>
    </row>
    <row r="33" spans="1:3" x14ac:dyDescent="0.2">
      <c r="A33">
        <v>30</v>
      </c>
      <c r="B33">
        <v>1766</v>
      </c>
    </row>
    <row r="34" spans="1:3" x14ac:dyDescent="0.2">
      <c r="A34" s="11">
        <v>45627</v>
      </c>
      <c r="B34">
        <v>1107</v>
      </c>
    </row>
    <row r="35" spans="1:3" x14ac:dyDescent="0.2">
      <c r="A35" t="s">
        <v>9</v>
      </c>
      <c r="B35">
        <f>SUM(B4:B34)</f>
        <v>18653</v>
      </c>
      <c r="C35">
        <f>SUM(C4:C34)</f>
        <v>4773.46</v>
      </c>
    </row>
    <row r="36" spans="1:3" x14ac:dyDescent="0.2">
      <c r="A36" t="s">
        <v>11</v>
      </c>
      <c r="B36" s="12">
        <f>B35-C35-B65+F7</f>
        <v>13879.54</v>
      </c>
    </row>
    <row r="37" spans="1:3" x14ac:dyDescent="0.2">
      <c r="A37" t="s">
        <v>89</v>
      </c>
      <c r="B37" s="12">
        <f>14200-B36</f>
        <v>320.45999999999913</v>
      </c>
    </row>
    <row r="38" spans="1:3" x14ac:dyDescent="0.2">
      <c r="B38" s="1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89DB5-8960-F640-BED4-F72CA2A68298}">
  <dimension ref="A2:F40"/>
  <sheetViews>
    <sheetView zoomScaleNormal="100" zoomScaleSheetLayoutView="100" workbookViewId="0">
      <selection activeCell="B4" sqref="B4:B14"/>
    </sheetView>
  </sheetViews>
  <sheetFormatPr defaultRowHeight="15" x14ac:dyDescent="0.2"/>
  <sheetData>
    <row r="2" spans="1:6" x14ac:dyDescent="0.2">
      <c r="D2" s="4">
        <v>45566</v>
      </c>
    </row>
    <row r="3" spans="1:6" x14ac:dyDescent="0.2">
      <c r="B3" t="s">
        <v>8</v>
      </c>
      <c r="C3" t="s">
        <v>10</v>
      </c>
    </row>
    <row r="4" spans="1:6" x14ac:dyDescent="0.2">
      <c r="A4">
        <v>1</v>
      </c>
      <c r="B4">
        <v>577</v>
      </c>
      <c r="C4" s="2">
        <v>4250</v>
      </c>
      <c r="D4" t="s">
        <v>77</v>
      </c>
      <c r="E4" t="s">
        <v>1</v>
      </c>
    </row>
    <row r="5" spans="1:6" x14ac:dyDescent="0.2">
      <c r="A5">
        <v>2</v>
      </c>
      <c r="B5">
        <v>586</v>
      </c>
      <c r="C5" s="2">
        <v>207</v>
      </c>
      <c r="D5" t="s">
        <v>28</v>
      </c>
      <c r="E5" s="1" t="s">
        <v>0</v>
      </c>
    </row>
    <row r="6" spans="1:6" x14ac:dyDescent="0.2">
      <c r="A6">
        <v>3</v>
      </c>
      <c r="B6">
        <v>319</v>
      </c>
      <c r="C6" s="2">
        <v>91</v>
      </c>
      <c r="E6" t="s">
        <v>2</v>
      </c>
    </row>
    <row r="7" spans="1:6" x14ac:dyDescent="0.2">
      <c r="A7">
        <v>4</v>
      </c>
      <c r="B7">
        <v>594</v>
      </c>
      <c r="C7" s="2"/>
      <c r="F7" s="12">
        <f>SUM(F4:F6)</f>
        <v>0</v>
      </c>
    </row>
    <row r="8" spans="1:6" x14ac:dyDescent="0.2">
      <c r="A8">
        <v>5</v>
      </c>
      <c r="B8">
        <v>1771</v>
      </c>
      <c r="C8" s="2"/>
    </row>
    <row r="9" spans="1:6" x14ac:dyDescent="0.2">
      <c r="A9">
        <v>6</v>
      </c>
      <c r="B9">
        <v>583</v>
      </c>
      <c r="C9" s="2"/>
    </row>
    <row r="10" spans="1:6" x14ac:dyDescent="0.2">
      <c r="A10">
        <v>7</v>
      </c>
      <c r="B10">
        <v>1291</v>
      </c>
      <c r="C10" s="2"/>
    </row>
    <row r="11" spans="1:6" x14ac:dyDescent="0.2">
      <c r="A11">
        <v>8</v>
      </c>
      <c r="B11">
        <v>564</v>
      </c>
      <c r="C11" s="2"/>
    </row>
    <row r="12" spans="1:6" x14ac:dyDescent="0.2">
      <c r="A12">
        <v>9</v>
      </c>
      <c r="B12">
        <v>0</v>
      </c>
      <c r="C12" s="2"/>
    </row>
    <row r="13" spans="1:6" x14ac:dyDescent="0.2">
      <c r="A13">
        <v>10</v>
      </c>
      <c r="B13" s="10">
        <v>0</v>
      </c>
      <c r="C13" s="2"/>
    </row>
    <row r="14" spans="1:6" x14ac:dyDescent="0.2">
      <c r="A14">
        <v>11</v>
      </c>
      <c r="B14">
        <v>0</v>
      </c>
      <c r="C14" s="2"/>
    </row>
    <row r="15" spans="1:6" x14ac:dyDescent="0.2">
      <c r="A15">
        <v>12</v>
      </c>
      <c r="B15">
        <v>1472</v>
      </c>
      <c r="C15" s="2"/>
    </row>
    <row r="16" spans="1:6" x14ac:dyDescent="0.2">
      <c r="A16">
        <v>13</v>
      </c>
      <c r="B16">
        <v>1420</v>
      </c>
      <c r="C16" s="2"/>
    </row>
    <row r="17" spans="1:6" x14ac:dyDescent="0.2">
      <c r="A17">
        <v>14</v>
      </c>
      <c r="B17">
        <v>908</v>
      </c>
      <c r="C17" s="2"/>
      <c r="F17" s="3"/>
    </row>
    <row r="18" spans="1:6" x14ac:dyDescent="0.2">
      <c r="A18">
        <v>15</v>
      </c>
      <c r="B18">
        <v>470</v>
      </c>
      <c r="C18" s="2"/>
    </row>
    <row r="19" spans="1:6" x14ac:dyDescent="0.2">
      <c r="A19">
        <v>16</v>
      </c>
      <c r="B19">
        <v>366</v>
      </c>
    </row>
    <row r="20" spans="1:6" x14ac:dyDescent="0.2">
      <c r="A20">
        <v>17</v>
      </c>
      <c r="B20">
        <v>498</v>
      </c>
    </row>
    <row r="21" spans="1:6" x14ac:dyDescent="0.2">
      <c r="A21">
        <v>18</v>
      </c>
      <c r="B21">
        <v>285</v>
      </c>
    </row>
    <row r="22" spans="1:6" x14ac:dyDescent="0.2">
      <c r="A22">
        <v>19</v>
      </c>
      <c r="B22">
        <v>469</v>
      </c>
    </row>
    <row r="23" spans="1:6" x14ac:dyDescent="0.2">
      <c r="A23">
        <v>20</v>
      </c>
      <c r="B23">
        <v>371</v>
      </c>
    </row>
    <row r="24" spans="1:6" x14ac:dyDescent="0.2">
      <c r="A24">
        <v>21</v>
      </c>
      <c r="B24">
        <v>330</v>
      </c>
    </row>
    <row r="25" spans="1:6" x14ac:dyDescent="0.2">
      <c r="A25">
        <v>22</v>
      </c>
      <c r="B25">
        <v>491</v>
      </c>
    </row>
    <row r="26" spans="1:6" x14ac:dyDescent="0.2">
      <c r="A26">
        <v>23</v>
      </c>
      <c r="B26">
        <v>481</v>
      </c>
    </row>
    <row r="27" spans="1:6" x14ac:dyDescent="0.2">
      <c r="A27">
        <v>24</v>
      </c>
      <c r="B27">
        <v>46</v>
      </c>
    </row>
    <row r="28" spans="1:6" x14ac:dyDescent="0.2">
      <c r="A28">
        <v>25</v>
      </c>
      <c r="B28">
        <v>388</v>
      </c>
    </row>
    <row r="29" spans="1:6" x14ac:dyDescent="0.2">
      <c r="A29">
        <v>26</v>
      </c>
      <c r="B29">
        <v>918</v>
      </c>
    </row>
    <row r="30" spans="1:6" x14ac:dyDescent="0.2">
      <c r="A30">
        <v>27</v>
      </c>
      <c r="B30">
        <v>732</v>
      </c>
    </row>
    <row r="31" spans="1:6" x14ac:dyDescent="0.2">
      <c r="A31">
        <v>28</v>
      </c>
      <c r="B31">
        <v>662</v>
      </c>
    </row>
    <row r="32" spans="1:6" x14ac:dyDescent="0.2">
      <c r="A32">
        <v>29</v>
      </c>
      <c r="B32">
        <v>0</v>
      </c>
    </row>
    <row r="33" spans="1:3" x14ac:dyDescent="0.2">
      <c r="A33">
        <v>30</v>
      </c>
      <c r="B33">
        <v>435</v>
      </c>
    </row>
    <row r="34" spans="1:3" x14ac:dyDescent="0.2">
      <c r="A34">
        <v>31</v>
      </c>
      <c r="B34">
        <v>673</v>
      </c>
    </row>
    <row r="35" spans="1:3" x14ac:dyDescent="0.2">
      <c r="A35" t="s">
        <v>9</v>
      </c>
      <c r="B35">
        <f>SUM(B4:B34)</f>
        <v>17700</v>
      </c>
      <c r="C35">
        <f>SUM(C4:C34)</f>
        <v>4548</v>
      </c>
    </row>
    <row r="36" spans="1:3" x14ac:dyDescent="0.2">
      <c r="A36" t="s">
        <v>11</v>
      </c>
      <c r="B36" s="12">
        <f>B35-C35+F7</f>
        <v>13152</v>
      </c>
    </row>
    <row r="37" spans="1:3" x14ac:dyDescent="0.2">
      <c r="B37" s="12"/>
    </row>
    <row r="38" spans="1:3" x14ac:dyDescent="0.2">
      <c r="B38" s="12"/>
    </row>
    <row r="40" spans="1:3" x14ac:dyDescent="0.2">
      <c r="A40" t="s">
        <v>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6766-209D-114D-9D0B-C383629851F1}">
  <dimension ref="A2:F40"/>
  <sheetViews>
    <sheetView zoomScaleNormal="100" zoomScaleSheetLayoutView="100" workbookViewId="0">
      <selection activeCell="F5" sqref="F5"/>
    </sheetView>
  </sheetViews>
  <sheetFormatPr defaultRowHeight="15" x14ac:dyDescent="0.2"/>
  <sheetData>
    <row r="2" spans="1:6" x14ac:dyDescent="0.2">
      <c r="D2" s="4">
        <v>45536</v>
      </c>
    </row>
    <row r="3" spans="1:6" x14ac:dyDescent="0.2">
      <c r="B3" t="s">
        <v>8</v>
      </c>
      <c r="C3" t="s">
        <v>10</v>
      </c>
    </row>
    <row r="4" spans="1:6" x14ac:dyDescent="0.2">
      <c r="A4">
        <v>1</v>
      </c>
      <c r="B4">
        <v>0</v>
      </c>
      <c r="C4" s="2">
        <v>3747</v>
      </c>
      <c r="D4" t="s">
        <v>77</v>
      </c>
      <c r="E4" t="s">
        <v>1</v>
      </c>
    </row>
    <row r="5" spans="1:6" x14ac:dyDescent="0.2">
      <c r="A5">
        <v>2</v>
      </c>
      <c r="B5">
        <v>568</v>
      </c>
      <c r="C5" s="2">
        <v>466</v>
      </c>
      <c r="D5" t="s">
        <v>28</v>
      </c>
      <c r="E5" s="1" t="s">
        <v>0</v>
      </c>
    </row>
    <row r="6" spans="1:6" x14ac:dyDescent="0.2">
      <c r="A6">
        <v>3</v>
      </c>
      <c r="B6">
        <v>624</v>
      </c>
      <c r="C6" s="2">
        <v>214</v>
      </c>
      <c r="D6" t="s">
        <v>90</v>
      </c>
      <c r="E6" t="s">
        <v>2</v>
      </c>
    </row>
    <row r="7" spans="1:6" x14ac:dyDescent="0.2">
      <c r="A7">
        <v>4</v>
      </c>
      <c r="B7">
        <v>213</v>
      </c>
      <c r="C7" s="2">
        <v>106</v>
      </c>
      <c r="F7" s="12">
        <f>SUM(F4:F6)-26</f>
        <v>-26</v>
      </c>
    </row>
    <row r="8" spans="1:6" x14ac:dyDescent="0.2">
      <c r="A8">
        <v>5</v>
      </c>
      <c r="B8">
        <v>277</v>
      </c>
      <c r="C8" s="2">
        <v>180</v>
      </c>
    </row>
    <row r="9" spans="1:6" x14ac:dyDescent="0.2">
      <c r="A9">
        <v>6</v>
      </c>
      <c r="B9">
        <v>685</v>
      </c>
      <c r="C9" s="2"/>
    </row>
    <row r="10" spans="1:6" x14ac:dyDescent="0.2">
      <c r="A10">
        <v>7</v>
      </c>
      <c r="B10">
        <v>1891</v>
      </c>
      <c r="C10" s="2"/>
    </row>
    <row r="11" spans="1:6" x14ac:dyDescent="0.2">
      <c r="A11">
        <v>8</v>
      </c>
      <c r="B11">
        <v>1056</v>
      </c>
      <c r="C11" s="2"/>
    </row>
    <row r="12" spans="1:6" x14ac:dyDescent="0.2">
      <c r="A12">
        <v>9</v>
      </c>
      <c r="B12">
        <v>810</v>
      </c>
      <c r="C12" s="2"/>
    </row>
    <row r="13" spans="1:6" x14ac:dyDescent="0.2">
      <c r="A13">
        <v>10</v>
      </c>
      <c r="B13" s="10">
        <v>642</v>
      </c>
      <c r="C13" s="2"/>
    </row>
    <row r="14" spans="1:6" x14ac:dyDescent="0.2">
      <c r="A14">
        <v>11</v>
      </c>
      <c r="B14">
        <v>572</v>
      </c>
      <c r="C14" s="2"/>
    </row>
    <row r="15" spans="1:6" x14ac:dyDescent="0.2">
      <c r="A15">
        <v>12</v>
      </c>
      <c r="B15">
        <v>513</v>
      </c>
      <c r="C15" s="2"/>
    </row>
    <row r="16" spans="1:6" x14ac:dyDescent="0.2">
      <c r="A16">
        <v>13</v>
      </c>
      <c r="B16">
        <v>663</v>
      </c>
      <c r="C16" s="2"/>
    </row>
    <row r="17" spans="1:6" x14ac:dyDescent="0.2">
      <c r="A17">
        <v>14</v>
      </c>
      <c r="B17">
        <v>346</v>
      </c>
      <c r="C17" s="2"/>
      <c r="F17" s="3"/>
    </row>
    <row r="18" spans="1:6" x14ac:dyDescent="0.2">
      <c r="A18">
        <v>15</v>
      </c>
      <c r="B18">
        <v>0</v>
      </c>
      <c r="C18" s="2"/>
    </row>
    <row r="19" spans="1:6" x14ac:dyDescent="0.2">
      <c r="A19">
        <v>16</v>
      </c>
      <c r="B19">
        <v>182</v>
      </c>
    </row>
    <row r="20" spans="1:6" x14ac:dyDescent="0.2">
      <c r="A20">
        <v>17</v>
      </c>
      <c r="B20">
        <v>463</v>
      </c>
    </row>
    <row r="21" spans="1:6" x14ac:dyDescent="0.2">
      <c r="A21">
        <v>18</v>
      </c>
      <c r="B21">
        <v>393</v>
      </c>
    </row>
    <row r="22" spans="1:6" x14ac:dyDescent="0.2">
      <c r="A22">
        <v>19</v>
      </c>
      <c r="B22">
        <v>342</v>
      </c>
    </row>
    <row r="23" spans="1:6" x14ac:dyDescent="0.2">
      <c r="A23">
        <v>20</v>
      </c>
      <c r="B23">
        <v>0</v>
      </c>
    </row>
    <row r="24" spans="1:6" x14ac:dyDescent="0.2">
      <c r="A24">
        <v>21</v>
      </c>
      <c r="B24">
        <v>1126</v>
      </c>
    </row>
    <row r="25" spans="1:6" x14ac:dyDescent="0.2">
      <c r="A25">
        <v>22</v>
      </c>
      <c r="B25">
        <v>898</v>
      </c>
    </row>
    <row r="26" spans="1:6" x14ac:dyDescent="0.2">
      <c r="A26">
        <v>23</v>
      </c>
      <c r="B26">
        <v>523</v>
      </c>
    </row>
    <row r="27" spans="1:6" x14ac:dyDescent="0.2">
      <c r="A27">
        <v>24</v>
      </c>
      <c r="B27">
        <v>440</v>
      </c>
    </row>
    <row r="28" spans="1:6" x14ac:dyDescent="0.2">
      <c r="A28">
        <v>25</v>
      </c>
      <c r="B28">
        <v>515</v>
      </c>
    </row>
    <row r="29" spans="1:6" x14ac:dyDescent="0.2">
      <c r="A29">
        <v>26</v>
      </c>
      <c r="B29">
        <v>62</v>
      </c>
    </row>
    <row r="30" spans="1:6" x14ac:dyDescent="0.2">
      <c r="A30">
        <v>27</v>
      </c>
      <c r="B30">
        <v>280</v>
      </c>
    </row>
    <row r="31" spans="1:6" x14ac:dyDescent="0.2">
      <c r="A31">
        <v>28</v>
      </c>
      <c r="B31">
        <v>1405</v>
      </c>
    </row>
    <row r="32" spans="1:6" x14ac:dyDescent="0.2">
      <c r="A32">
        <v>29</v>
      </c>
      <c r="B32">
        <v>645</v>
      </c>
    </row>
    <row r="33" spans="1:3" x14ac:dyDescent="0.2">
      <c r="A33">
        <v>30</v>
      </c>
      <c r="B33">
        <v>435</v>
      </c>
    </row>
    <row r="35" spans="1:3" x14ac:dyDescent="0.2">
      <c r="A35" t="s">
        <v>9</v>
      </c>
      <c r="B35">
        <f>SUM(B4:B34)</f>
        <v>16569</v>
      </c>
      <c r="C35">
        <f>SUM(C4:C34)</f>
        <v>4713</v>
      </c>
    </row>
    <row r="36" spans="1:3" x14ac:dyDescent="0.2">
      <c r="A36" t="s">
        <v>11</v>
      </c>
      <c r="B36" s="12">
        <f>B35-C35-B65+F7</f>
        <v>11830</v>
      </c>
    </row>
    <row r="37" spans="1:3" x14ac:dyDescent="0.2">
      <c r="B37" s="12"/>
    </row>
    <row r="38" spans="1:3" x14ac:dyDescent="0.2">
      <c r="B38" s="12"/>
    </row>
    <row r="40" spans="1:3" x14ac:dyDescent="0.2">
      <c r="A40" t="s">
        <v>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99C8-2AB3-2A48-AD47-AE26FC0C8FDE}">
  <dimension ref="A2:F40"/>
  <sheetViews>
    <sheetView zoomScaleNormal="100" zoomScaleSheetLayoutView="100" workbookViewId="0">
      <selection activeCell="B4" sqref="B4:B16"/>
    </sheetView>
  </sheetViews>
  <sheetFormatPr defaultRowHeight="15" x14ac:dyDescent="0.2"/>
  <sheetData>
    <row r="2" spans="1:6" x14ac:dyDescent="0.2">
      <c r="D2" s="4">
        <v>45505</v>
      </c>
    </row>
    <row r="3" spans="1:6" x14ac:dyDescent="0.2">
      <c r="B3" t="s">
        <v>8</v>
      </c>
      <c r="C3" t="s">
        <v>10</v>
      </c>
    </row>
    <row r="4" spans="1:6" x14ac:dyDescent="0.2">
      <c r="A4">
        <v>1</v>
      </c>
      <c r="B4">
        <v>424</v>
      </c>
      <c r="C4" s="2">
        <v>3535.45</v>
      </c>
      <c r="D4" t="s">
        <v>77</v>
      </c>
      <c r="E4" t="s">
        <v>1</v>
      </c>
    </row>
    <row r="5" spans="1:6" x14ac:dyDescent="0.2">
      <c r="A5">
        <v>2</v>
      </c>
      <c r="B5">
        <v>488</v>
      </c>
      <c r="C5" s="2">
        <v>158.71</v>
      </c>
      <c r="D5" t="s">
        <v>28</v>
      </c>
      <c r="E5" s="1" t="s">
        <v>0</v>
      </c>
    </row>
    <row r="6" spans="1:6" x14ac:dyDescent="0.2">
      <c r="A6">
        <v>3</v>
      </c>
      <c r="B6">
        <v>995</v>
      </c>
      <c r="C6" s="2"/>
      <c r="E6" t="s">
        <v>2</v>
      </c>
    </row>
    <row r="7" spans="1:6" x14ac:dyDescent="0.2">
      <c r="A7">
        <v>4</v>
      </c>
      <c r="B7">
        <v>833</v>
      </c>
      <c r="C7" s="2"/>
      <c r="F7" s="12">
        <f>SUM(F4:F6)</f>
        <v>0</v>
      </c>
    </row>
    <row r="8" spans="1:6" x14ac:dyDescent="0.2">
      <c r="A8">
        <v>5</v>
      </c>
      <c r="B8">
        <v>469</v>
      </c>
      <c r="C8" s="2"/>
    </row>
    <row r="9" spans="1:6" x14ac:dyDescent="0.2">
      <c r="A9">
        <v>6</v>
      </c>
      <c r="B9">
        <v>720</v>
      </c>
      <c r="C9" s="2"/>
    </row>
    <row r="10" spans="1:6" x14ac:dyDescent="0.2">
      <c r="A10">
        <v>7</v>
      </c>
      <c r="B10">
        <v>149</v>
      </c>
      <c r="C10" s="2"/>
    </row>
    <row r="11" spans="1:6" x14ac:dyDescent="0.2">
      <c r="A11">
        <v>8</v>
      </c>
      <c r="B11">
        <v>206</v>
      </c>
      <c r="C11" s="2"/>
    </row>
    <row r="12" spans="1:6" x14ac:dyDescent="0.2">
      <c r="A12">
        <v>9</v>
      </c>
      <c r="B12">
        <v>362</v>
      </c>
      <c r="C12" s="2"/>
    </row>
    <row r="13" spans="1:6" x14ac:dyDescent="0.2">
      <c r="A13">
        <v>10</v>
      </c>
      <c r="B13" s="10">
        <v>1009</v>
      </c>
      <c r="C13" s="2"/>
    </row>
    <row r="14" spans="1:6" x14ac:dyDescent="0.2">
      <c r="A14">
        <v>11</v>
      </c>
      <c r="B14">
        <v>0</v>
      </c>
      <c r="C14" s="2"/>
    </row>
    <row r="15" spans="1:6" x14ac:dyDescent="0.2">
      <c r="A15">
        <v>12</v>
      </c>
      <c r="B15">
        <v>219</v>
      </c>
      <c r="C15" s="2"/>
    </row>
    <row r="16" spans="1:6" x14ac:dyDescent="0.2">
      <c r="A16">
        <v>13</v>
      </c>
      <c r="B16">
        <v>267</v>
      </c>
      <c r="C16" s="2"/>
    </row>
    <row r="17" spans="1:6" x14ac:dyDescent="0.2">
      <c r="A17">
        <v>14</v>
      </c>
      <c r="B17">
        <v>236</v>
      </c>
      <c r="C17" s="2"/>
      <c r="F17" s="3"/>
    </row>
    <row r="18" spans="1:6" x14ac:dyDescent="0.2">
      <c r="A18">
        <v>15</v>
      </c>
      <c r="B18">
        <v>555</v>
      </c>
      <c r="C18" s="2"/>
    </row>
    <row r="19" spans="1:6" x14ac:dyDescent="0.2">
      <c r="A19">
        <v>16</v>
      </c>
      <c r="B19">
        <v>657</v>
      </c>
    </row>
    <row r="20" spans="1:6" x14ac:dyDescent="0.2">
      <c r="A20">
        <v>17</v>
      </c>
      <c r="B20">
        <v>1257</v>
      </c>
    </row>
    <row r="21" spans="1:6" x14ac:dyDescent="0.2">
      <c r="A21">
        <v>18</v>
      </c>
      <c r="B21">
        <v>839</v>
      </c>
    </row>
    <row r="22" spans="1:6" x14ac:dyDescent="0.2">
      <c r="A22">
        <v>19</v>
      </c>
      <c r="B22">
        <v>651</v>
      </c>
    </row>
    <row r="23" spans="1:6" x14ac:dyDescent="0.2">
      <c r="A23">
        <v>20</v>
      </c>
      <c r="B23">
        <v>470</v>
      </c>
    </row>
    <row r="24" spans="1:6" x14ac:dyDescent="0.2">
      <c r="A24">
        <v>21</v>
      </c>
      <c r="B24">
        <v>534</v>
      </c>
    </row>
    <row r="25" spans="1:6" x14ac:dyDescent="0.2">
      <c r="A25">
        <v>22</v>
      </c>
      <c r="B25">
        <v>462</v>
      </c>
    </row>
    <row r="26" spans="1:6" x14ac:dyDescent="0.2">
      <c r="A26">
        <v>23</v>
      </c>
      <c r="B26">
        <v>166</v>
      </c>
    </row>
    <row r="27" spans="1:6" x14ac:dyDescent="0.2">
      <c r="A27">
        <v>24</v>
      </c>
      <c r="B27">
        <v>364</v>
      </c>
    </row>
    <row r="28" spans="1:6" x14ac:dyDescent="0.2">
      <c r="A28">
        <v>25</v>
      </c>
      <c r="B28">
        <v>0</v>
      </c>
    </row>
    <row r="29" spans="1:6" x14ac:dyDescent="0.2">
      <c r="A29">
        <v>26</v>
      </c>
      <c r="B29">
        <v>669</v>
      </c>
    </row>
    <row r="30" spans="1:6" x14ac:dyDescent="0.2">
      <c r="A30">
        <v>27</v>
      </c>
      <c r="B30">
        <v>691</v>
      </c>
    </row>
    <row r="31" spans="1:6" x14ac:dyDescent="0.2">
      <c r="A31">
        <v>28</v>
      </c>
      <c r="B31">
        <v>423</v>
      </c>
    </row>
    <row r="32" spans="1:6" x14ac:dyDescent="0.2">
      <c r="A32">
        <v>29</v>
      </c>
      <c r="B32">
        <v>419</v>
      </c>
    </row>
    <row r="33" spans="1:3" x14ac:dyDescent="0.2">
      <c r="A33">
        <v>30</v>
      </c>
      <c r="B33">
        <v>601</v>
      </c>
    </row>
    <row r="34" spans="1:3" x14ac:dyDescent="0.2">
      <c r="A34">
        <v>31</v>
      </c>
      <c r="B34">
        <v>994</v>
      </c>
    </row>
    <row r="35" spans="1:3" x14ac:dyDescent="0.2">
      <c r="A35" t="s">
        <v>9</v>
      </c>
      <c r="B35">
        <f>SUM(B4:B34)</f>
        <v>16129</v>
      </c>
      <c r="C35">
        <f>SUM(C4:C34)</f>
        <v>3694.16</v>
      </c>
    </row>
    <row r="36" spans="1:3" x14ac:dyDescent="0.2">
      <c r="A36" t="s">
        <v>11</v>
      </c>
      <c r="B36" s="12">
        <f>B35-C35-B65+F7</f>
        <v>12434.84</v>
      </c>
    </row>
    <row r="37" spans="1:3" x14ac:dyDescent="0.2">
      <c r="A37" t="s">
        <v>89</v>
      </c>
      <c r="B37" s="12">
        <f>12800-B36</f>
        <v>365.15999999999985</v>
      </c>
    </row>
    <row r="38" spans="1:3" x14ac:dyDescent="0.2">
      <c r="B38" s="12"/>
    </row>
    <row r="40" spans="1:3" x14ac:dyDescent="0.2">
      <c r="A40" t="s">
        <v>50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2BF0-9C1F-3241-B205-4681B2136240}">
  <dimension ref="A2:F40"/>
  <sheetViews>
    <sheetView zoomScaleNormal="100" zoomScaleSheetLayoutView="100" workbookViewId="0">
      <selection activeCell="F30" sqref="F30"/>
    </sheetView>
  </sheetViews>
  <sheetFormatPr defaultRowHeight="15" x14ac:dyDescent="0.2"/>
  <sheetData>
    <row r="2" spans="1:6" x14ac:dyDescent="0.2">
      <c r="D2" s="4">
        <v>45474</v>
      </c>
    </row>
    <row r="3" spans="1:6" x14ac:dyDescent="0.2">
      <c r="B3" t="s">
        <v>8</v>
      </c>
      <c r="C3" t="s">
        <v>10</v>
      </c>
    </row>
    <row r="4" spans="1:6" x14ac:dyDescent="0.2">
      <c r="A4">
        <v>1</v>
      </c>
      <c r="B4">
        <v>370</v>
      </c>
      <c r="C4" s="2">
        <v>3911.96</v>
      </c>
      <c r="D4" t="s">
        <v>77</v>
      </c>
      <c r="E4" t="s">
        <v>1</v>
      </c>
    </row>
    <row r="5" spans="1:6" x14ac:dyDescent="0.2">
      <c r="A5">
        <v>2</v>
      </c>
      <c r="B5">
        <v>248</v>
      </c>
      <c r="C5" s="2">
        <v>316.18</v>
      </c>
      <c r="D5" t="s">
        <v>28</v>
      </c>
      <c r="E5" s="1" t="s">
        <v>0</v>
      </c>
    </row>
    <row r="6" spans="1:6" x14ac:dyDescent="0.2">
      <c r="A6">
        <v>3</v>
      </c>
      <c r="B6">
        <v>524</v>
      </c>
      <c r="C6" s="2"/>
      <c r="E6" t="s">
        <v>2</v>
      </c>
    </row>
    <row r="7" spans="1:6" x14ac:dyDescent="0.2">
      <c r="A7">
        <v>4</v>
      </c>
      <c r="B7">
        <v>430</v>
      </c>
      <c r="C7" s="2"/>
      <c r="F7" s="12">
        <f>SUM(F4:F6)</f>
        <v>0</v>
      </c>
    </row>
    <row r="8" spans="1:6" x14ac:dyDescent="0.2">
      <c r="A8">
        <v>5</v>
      </c>
      <c r="B8">
        <v>381</v>
      </c>
      <c r="C8" s="2"/>
    </row>
    <row r="9" spans="1:6" x14ac:dyDescent="0.2">
      <c r="A9">
        <v>6</v>
      </c>
      <c r="B9">
        <v>1136</v>
      </c>
      <c r="C9" s="2"/>
    </row>
    <row r="10" spans="1:6" x14ac:dyDescent="0.2">
      <c r="A10">
        <v>7</v>
      </c>
      <c r="B10">
        <v>0</v>
      </c>
      <c r="C10" s="2"/>
    </row>
    <row r="11" spans="1:6" x14ac:dyDescent="0.2">
      <c r="A11">
        <v>8</v>
      </c>
      <c r="B11">
        <v>0</v>
      </c>
      <c r="C11" s="2"/>
    </row>
    <row r="12" spans="1:6" x14ac:dyDescent="0.2">
      <c r="A12">
        <v>9</v>
      </c>
      <c r="B12">
        <v>0</v>
      </c>
      <c r="C12" s="2"/>
    </row>
    <row r="13" spans="1:6" x14ac:dyDescent="0.2">
      <c r="A13">
        <v>10</v>
      </c>
      <c r="B13" s="10">
        <v>282</v>
      </c>
      <c r="C13" s="2"/>
    </row>
    <row r="14" spans="1:6" x14ac:dyDescent="0.2">
      <c r="A14">
        <v>11</v>
      </c>
      <c r="B14">
        <v>0</v>
      </c>
      <c r="C14" s="2"/>
    </row>
    <row r="15" spans="1:6" x14ac:dyDescent="0.2">
      <c r="A15">
        <v>12</v>
      </c>
      <c r="B15">
        <v>0</v>
      </c>
      <c r="C15" s="2"/>
    </row>
    <row r="16" spans="1:6" x14ac:dyDescent="0.2">
      <c r="A16">
        <v>13</v>
      </c>
      <c r="B16">
        <v>0</v>
      </c>
      <c r="C16" s="2"/>
    </row>
    <row r="17" spans="1:6" x14ac:dyDescent="0.2">
      <c r="A17">
        <v>14</v>
      </c>
      <c r="B17">
        <v>0</v>
      </c>
      <c r="C17" s="2"/>
      <c r="F17" s="3"/>
    </row>
    <row r="18" spans="1:6" x14ac:dyDescent="0.2">
      <c r="A18">
        <v>15</v>
      </c>
      <c r="B18">
        <v>287</v>
      </c>
      <c r="C18" s="2"/>
    </row>
    <row r="19" spans="1:6" x14ac:dyDescent="0.2">
      <c r="A19">
        <v>16</v>
      </c>
      <c r="B19">
        <v>324</v>
      </c>
    </row>
    <row r="20" spans="1:6" x14ac:dyDescent="0.2">
      <c r="A20">
        <v>17</v>
      </c>
      <c r="B20">
        <v>638</v>
      </c>
    </row>
    <row r="21" spans="1:6" x14ac:dyDescent="0.2">
      <c r="A21">
        <v>18</v>
      </c>
      <c r="B21">
        <v>471</v>
      </c>
    </row>
    <row r="22" spans="1:6" x14ac:dyDescent="0.2">
      <c r="A22">
        <v>19</v>
      </c>
      <c r="B22">
        <v>507</v>
      </c>
    </row>
    <row r="23" spans="1:6" x14ac:dyDescent="0.2">
      <c r="A23">
        <v>20</v>
      </c>
      <c r="B23">
        <v>1063</v>
      </c>
    </row>
    <row r="24" spans="1:6" x14ac:dyDescent="0.2">
      <c r="A24">
        <v>21</v>
      </c>
      <c r="B24">
        <v>1007</v>
      </c>
    </row>
    <row r="25" spans="1:6" x14ac:dyDescent="0.2">
      <c r="A25">
        <v>22</v>
      </c>
      <c r="B25">
        <v>585</v>
      </c>
    </row>
    <row r="26" spans="1:6" x14ac:dyDescent="0.2">
      <c r="A26">
        <v>23</v>
      </c>
      <c r="B26">
        <v>473</v>
      </c>
    </row>
    <row r="27" spans="1:6" x14ac:dyDescent="0.2">
      <c r="A27">
        <v>24</v>
      </c>
      <c r="B27">
        <v>564</v>
      </c>
    </row>
    <row r="28" spans="1:6" x14ac:dyDescent="0.2">
      <c r="A28">
        <v>25</v>
      </c>
      <c r="B28">
        <v>431</v>
      </c>
    </row>
    <row r="29" spans="1:6" x14ac:dyDescent="0.2">
      <c r="A29">
        <v>26</v>
      </c>
      <c r="B29">
        <v>418</v>
      </c>
    </row>
    <row r="30" spans="1:6" x14ac:dyDescent="0.2">
      <c r="A30">
        <v>27</v>
      </c>
      <c r="B30">
        <v>732</v>
      </c>
    </row>
    <row r="31" spans="1:6" x14ac:dyDescent="0.2">
      <c r="A31">
        <v>28</v>
      </c>
      <c r="B31">
        <v>0</v>
      </c>
    </row>
    <row r="32" spans="1:6" x14ac:dyDescent="0.2">
      <c r="A32">
        <v>29</v>
      </c>
      <c r="B32">
        <v>293</v>
      </c>
    </row>
    <row r="33" spans="1:3" x14ac:dyDescent="0.2">
      <c r="A33">
        <v>30</v>
      </c>
      <c r="B33">
        <v>209</v>
      </c>
    </row>
    <row r="34" spans="1:3" x14ac:dyDescent="0.2">
      <c r="A34">
        <v>31</v>
      </c>
      <c r="B34">
        <v>491</v>
      </c>
    </row>
    <row r="35" spans="1:3" x14ac:dyDescent="0.2">
      <c r="A35" t="s">
        <v>9</v>
      </c>
      <c r="B35">
        <f>SUM(B4:B34)</f>
        <v>11864</v>
      </c>
      <c r="C35">
        <f>SUM(C4:C34)</f>
        <v>4228.1400000000003</v>
      </c>
    </row>
    <row r="36" spans="1:3" x14ac:dyDescent="0.2">
      <c r="A36" t="s">
        <v>11</v>
      </c>
      <c r="B36" s="12">
        <f>B35-C35-B65+F7</f>
        <v>7635.86</v>
      </c>
    </row>
    <row r="37" spans="1:3" x14ac:dyDescent="0.2">
      <c r="B37" s="12"/>
    </row>
    <row r="38" spans="1:3" x14ac:dyDescent="0.2">
      <c r="A38" t="s">
        <v>89</v>
      </c>
      <c r="B38" s="12">
        <f>12100-B36-2420-1314</f>
        <v>730.14000000000033</v>
      </c>
    </row>
    <row r="40" spans="1:3" x14ac:dyDescent="0.2">
      <c r="A40" t="s">
        <v>50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9874-1666-9B4B-8C7E-F029ACF06127}">
  <dimension ref="A2:F65"/>
  <sheetViews>
    <sheetView zoomScaleNormal="100" zoomScaleSheetLayoutView="100" workbookViewId="0">
      <selection activeCell="F29" sqref="F29"/>
    </sheetView>
  </sheetViews>
  <sheetFormatPr defaultRowHeight="15" x14ac:dyDescent="0.2"/>
  <sheetData>
    <row r="2" spans="1:6" x14ac:dyDescent="0.2">
      <c r="D2" s="4">
        <v>45444</v>
      </c>
    </row>
    <row r="3" spans="1:6" x14ac:dyDescent="0.2">
      <c r="B3" t="s">
        <v>8</v>
      </c>
      <c r="C3" t="s">
        <v>10</v>
      </c>
    </row>
    <row r="4" spans="1:6" x14ac:dyDescent="0.2">
      <c r="A4">
        <v>1</v>
      </c>
      <c r="B4">
        <v>775</v>
      </c>
      <c r="C4" s="2">
        <v>3150</v>
      </c>
      <c r="D4" t="s">
        <v>77</v>
      </c>
      <c r="E4" t="s">
        <v>1</v>
      </c>
    </row>
    <row r="5" spans="1:6" x14ac:dyDescent="0.2">
      <c r="A5">
        <v>2</v>
      </c>
      <c r="B5">
        <v>693</v>
      </c>
      <c r="C5" s="2">
        <v>346.36</v>
      </c>
      <c r="D5" t="s">
        <v>28</v>
      </c>
      <c r="E5" s="1" t="s">
        <v>0</v>
      </c>
    </row>
    <row r="6" spans="1:6" x14ac:dyDescent="0.2">
      <c r="A6">
        <v>3</v>
      </c>
      <c r="B6">
        <v>529</v>
      </c>
      <c r="C6" s="2"/>
      <c r="E6" t="s">
        <v>2</v>
      </c>
    </row>
    <row r="7" spans="1:6" x14ac:dyDescent="0.2">
      <c r="A7">
        <v>4</v>
      </c>
      <c r="B7">
        <v>468</v>
      </c>
      <c r="C7" s="2"/>
      <c r="F7" s="12">
        <f>SUM(F4:F6)</f>
        <v>0</v>
      </c>
    </row>
    <row r="8" spans="1:6" x14ac:dyDescent="0.2">
      <c r="A8">
        <v>5</v>
      </c>
      <c r="B8">
        <v>401</v>
      </c>
      <c r="C8" s="2"/>
    </row>
    <row r="9" spans="1:6" x14ac:dyDescent="0.2">
      <c r="A9">
        <v>6</v>
      </c>
      <c r="B9">
        <v>650</v>
      </c>
      <c r="C9" s="2"/>
    </row>
    <row r="10" spans="1:6" x14ac:dyDescent="0.2">
      <c r="A10">
        <v>7</v>
      </c>
      <c r="B10">
        <v>636</v>
      </c>
      <c r="C10" s="2"/>
    </row>
    <row r="11" spans="1:6" x14ac:dyDescent="0.2">
      <c r="A11">
        <v>8</v>
      </c>
      <c r="B11">
        <v>1115</v>
      </c>
      <c r="C11" s="2"/>
    </row>
    <row r="12" spans="1:6" x14ac:dyDescent="0.2">
      <c r="A12">
        <v>9</v>
      </c>
      <c r="B12">
        <v>775</v>
      </c>
      <c r="C12" s="2"/>
    </row>
    <row r="13" spans="1:6" x14ac:dyDescent="0.2">
      <c r="A13">
        <v>10</v>
      </c>
      <c r="B13" s="10">
        <v>864</v>
      </c>
      <c r="C13" s="2"/>
    </row>
    <row r="14" spans="1:6" x14ac:dyDescent="0.2">
      <c r="A14">
        <v>11</v>
      </c>
      <c r="B14">
        <v>269</v>
      </c>
      <c r="C14" s="2"/>
    </row>
    <row r="15" spans="1:6" x14ac:dyDescent="0.2">
      <c r="A15">
        <v>12</v>
      </c>
      <c r="B15">
        <v>536</v>
      </c>
      <c r="C15" s="2"/>
    </row>
    <row r="16" spans="1:6" x14ac:dyDescent="0.2">
      <c r="A16">
        <v>13</v>
      </c>
      <c r="B16">
        <v>336</v>
      </c>
      <c r="C16" s="2"/>
    </row>
    <row r="17" spans="1:6" x14ac:dyDescent="0.2">
      <c r="A17">
        <v>14</v>
      </c>
      <c r="B17">
        <v>410</v>
      </c>
      <c r="C17" s="2"/>
      <c r="F17" s="3"/>
    </row>
    <row r="18" spans="1:6" x14ac:dyDescent="0.2">
      <c r="A18">
        <v>15</v>
      </c>
      <c r="B18">
        <v>630</v>
      </c>
      <c r="C18" s="2"/>
    </row>
    <row r="19" spans="1:6" x14ac:dyDescent="0.2">
      <c r="A19">
        <v>16</v>
      </c>
      <c r="B19">
        <v>136</v>
      </c>
    </row>
    <row r="20" spans="1:6" x14ac:dyDescent="0.2">
      <c r="A20">
        <v>17</v>
      </c>
      <c r="B20">
        <v>142</v>
      </c>
    </row>
    <row r="21" spans="1:6" x14ac:dyDescent="0.2">
      <c r="A21">
        <v>18</v>
      </c>
      <c r="B21">
        <v>478</v>
      </c>
    </row>
    <row r="22" spans="1:6" x14ac:dyDescent="0.2">
      <c r="A22">
        <v>19</v>
      </c>
      <c r="B22">
        <v>479</v>
      </c>
    </row>
    <row r="23" spans="1:6" x14ac:dyDescent="0.2">
      <c r="A23">
        <v>20</v>
      </c>
      <c r="B23">
        <v>457</v>
      </c>
    </row>
    <row r="24" spans="1:6" x14ac:dyDescent="0.2">
      <c r="A24">
        <v>21</v>
      </c>
      <c r="B24">
        <v>454</v>
      </c>
    </row>
    <row r="25" spans="1:6" x14ac:dyDescent="0.2">
      <c r="A25">
        <v>22</v>
      </c>
      <c r="B25">
        <v>851</v>
      </c>
    </row>
    <row r="26" spans="1:6" x14ac:dyDescent="0.2">
      <c r="A26">
        <v>23</v>
      </c>
      <c r="B26">
        <v>619</v>
      </c>
    </row>
    <row r="27" spans="1:6" x14ac:dyDescent="0.2">
      <c r="A27">
        <v>24</v>
      </c>
      <c r="B27">
        <v>424</v>
      </c>
    </row>
    <row r="28" spans="1:6" x14ac:dyDescent="0.2">
      <c r="A28">
        <v>25</v>
      </c>
      <c r="B28">
        <v>176</v>
      </c>
    </row>
    <row r="29" spans="1:6" x14ac:dyDescent="0.2">
      <c r="A29">
        <v>26</v>
      </c>
      <c r="B29">
        <v>243</v>
      </c>
    </row>
    <row r="30" spans="1:6" x14ac:dyDescent="0.2">
      <c r="A30">
        <v>27</v>
      </c>
      <c r="B30">
        <v>333</v>
      </c>
    </row>
    <row r="31" spans="1:6" x14ac:dyDescent="0.2">
      <c r="A31">
        <v>28</v>
      </c>
      <c r="B31">
        <v>233</v>
      </c>
    </row>
    <row r="32" spans="1:6" x14ac:dyDescent="0.2">
      <c r="A32">
        <v>29</v>
      </c>
      <c r="B32">
        <v>411</v>
      </c>
    </row>
    <row r="33" spans="1:3" x14ac:dyDescent="0.2">
      <c r="A33">
        <v>30</v>
      </c>
      <c r="B33">
        <v>0</v>
      </c>
    </row>
    <row r="35" spans="1:3" x14ac:dyDescent="0.2">
      <c r="A35" t="s">
        <v>9</v>
      </c>
      <c r="B35">
        <f>SUM(B4:B34)</f>
        <v>14523</v>
      </c>
      <c r="C35">
        <f>SUM(C4:C34)</f>
        <v>3496.36</v>
      </c>
    </row>
    <row r="36" spans="1:3" x14ac:dyDescent="0.2">
      <c r="A36" t="s">
        <v>11</v>
      </c>
      <c r="B36" s="12">
        <f>B35-C35-B65+F7</f>
        <v>11026.64</v>
      </c>
    </row>
    <row r="37" spans="1:3" x14ac:dyDescent="0.2">
      <c r="B37" s="12"/>
    </row>
    <row r="40" spans="1:3" x14ac:dyDescent="0.2">
      <c r="A40" t="s">
        <v>50</v>
      </c>
    </row>
    <row r="42" spans="1:3" x14ac:dyDescent="0.2">
      <c r="A42" t="s">
        <v>31</v>
      </c>
      <c r="C42" t="s">
        <v>38</v>
      </c>
    </row>
    <row r="65" spans="2:2" x14ac:dyDescent="0.2">
      <c r="B65">
        <f>SUM(B43:B64)</f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1190-BF21-9343-9F16-A940FB823F51}">
  <dimension ref="A2:F65"/>
  <sheetViews>
    <sheetView zoomScaleNormal="100" zoomScaleSheetLayoutView="100" workbookViewId="0">
      <selection activeCell="F30" sqref="F30"/>
    </sheetView>
  </sheetViews>
  <sheetFormatPr defaultRowHeight="15" x14ac:dyDescent="0.2"/>
  <cols>
    <col min="1" max="1" width="11.296875" customWidth="1"/>
  </cols>
  <sheetData>
    <row r="2" spans="1:6" x14ac:dyDescent="0.2">
      <c r="D2" s="4">
        <v>45413</v>
      </c>
    </row>
    <row r="3" spans="1:6" x14ac:dyDescent="0.2">
      <c r="B3" t="s">
        <v>8</v>
      </c>
      <c r="C3" t="s">
        <v>10</v>
      </c>
    </row>
    <row r="4" spans="1:6" x14ac:dyDescent="0.2">
      <c r="A4">
        <v>1</v>
      </c>
      <c r="B4">
        <v>0</v>
      </c>
      <c r="C4" s="2">
        <v>3187.01</v>
      </c>
      <c r="D4" t="s">
        <v>77</v>
      </c>
      <c r="E4" t="s">
        <v>1</v>
      </c>
    </row>
    <row r="5" spans="1:6" x14ac:dyDescent="0.2">
      <c r="A5">
        <v>2</v>
      </c>
      <c r="B5">
        <v>440</v>
      </c>
      <c r="C5" s="2">
        <v>88.14</v>
      </c>
      <c r="D5" t="s">
        <v>28</v>
      </c>
      <c r="E5" s="1" t="s">
        <v>0</v>
      </c>
    </row>
    <row r="6" spans="1:6" x14ac:dyDescent="0.2">
      <c r="A6">
        <v>3</v>
      </c>
      <c r="B6">
        <v>0</v>
      </c>
      <c r="C6" s="2">
        <v>76.989999999999995</v>
      </c>
      <c r="D6" t="s">
        <v>28</v>
      </c>
      <c r="E6" t="s">
        <v>2</v>
      </c>
    </row>
    <row r="7" spans="1:6" x14ac:dyDescent="0.2">
      <c r="A7">
        <v>4</v>
      </c>
      <c r="B7">
        <v>1302</v>
      </c>
      <c r="C7" s="2">
        <v>252.39</v>
      </c>
      <c r="D7" t="s">
        <v>28</v>
      </c>
      <c r="F7" s="12">
        <f>SUM(F4:F6)</f>
        <v>0</v>
      </c>
    </row>
    <row r="8" spans="1:6" x14ac:dyDescent="0.2">
      <c r="A8">
        <v>5</v>
      </c>
      <c r="B8">
        <v>840</v>
      </c>
      <c r="C8" s="2"/>
    </row>
    <row r="9" spans="1:6" x14ac:dyDescent="0.2">
      <c r="A9">
        <v>6</v>
      </c>
      <c r="B9">
        <v>479</v>
      </c>
      <c r="C9" s="2"/>
    </row>
    <row r="10" spans="1:6" x14ac:dyDescent="0.2">
      <c r="A10">
        <v>7</v>
      </c>
      <c r="B10">
        <v>545</v>
      </c>
      <c r="C10" s="2"/>
    </row>
    <row r="11" spans="1:6" x14ac:dyDescent="0.2">
      <c r="A11">
        <v>8</v>
      </c>
      <c r="B11">
        <v>732</v>
      </c>
      <c r="C11" s="2"/>
    </row>
    <row r="12" spans="1:6" x14ac:dyDescent="0.2">
      <c r="A12">
        <v>9</v>
      </c>
      <c r="B12">
        <v>377</v>
      </c>
      <c r="C12" s="2"/>
    </row>
    <row r="13" spans="1:6" x14ac:dyDescent="0.2">
      <c r="A13">
        <v>10</v>
      </c>
      <c r="B13" s="10">
        <v>622</v>
      </c>
      <c r="C13" s="2"/>
    </row>
    <row r="14" spans="1:6" x14ac:dyDescent="0.2">
      <c r="A14">
        <v>11</v>
      </c>
      <c r="B14">
        <v>1418</v>
      </c>
      <c r="C14" s="2"/>
    </row>
    <row r="15" spans="1:6" x14ac:dyDescent="0.2">
      <c r="A15">
        <v>12</v>
      </c>
      <c r="B15">
        <v>623</v>
      </c>
      <c r="C15" s="2"/>
    </row>
    <row r="16" spans="1:6" x14ac:dyDescent="0.2">
      <c r="A16">
        <v>13</v>
      </c>
      <c r="B16">
        <v>51</v>
      </c>
      <c r="C16" s="2"/>
    </row>
    <row r="17" spans="1:6" x14ac:dyDescent="0.2">
      <c r="A17">
        <v>14</v>
      </c>
      <c r="B17">
        <v>378</v>
      </c>
      <c r="C17" s="2"/>
      <c r="F17" s="3"/>
    </row>
    <row r="18" spans="1:6" x14ac:dyDescent="0.2">
      <c r="A18">
        <v>15</v>
      </c>
      <c r="B18">
        <v>197</v>
      </c>
      <c r="C18" s="2"/>
    </row>
    <row r="19" spans="1:6" x14ac:dyDescent="0.2">
      <c r="A19">
        <v>16</v>
      </c>
      <c r="B19">
        <v>479</v>
      </c>
    </row>
    <row r="20" spans="1:6" x14ac:dyDescent="0.2">
      <c r="A20">
        <v>17</v>
      </c>
      <c r="B20">
        <v>484</v>
      </c>
    </row>
    <row r="21" spans="1:6" x14ac:dyDescent="0.2">
      <c r="A21">
        <v>18</v>
      </c>
      <c r="B21">
        <v>282</v>
      </c>
    </row>
    <row r="22" spans="1:6" x14ac:dyDescent="0.2">
      <c r="A22">
        <v>19</v>
      </c>
      <c r="B22">
        <v>371</v>
      </c>
    </row>
    <row r="23" spans="1:6" x14ac:dyDescent="0.2">
      <c r="A23">
        <v>20</v>
      </c>
      <c r="B23">
        <v>407</v>
      </c>
    </row>
    <row r="24" spans="1:6" x14ac:dyDescent="0.2">
      <c r="A24">
        <v>21</v>
      </c>
      <c r="B24">
        <v>220</v>
      </c>
    </row>
    <row r="25" spans="1:6" x14ac:dyDescent="0.2">
      <c r="A25">
        <v>22</v>
      </c>
      <c r="B25">
        <v>406</v>
      </c>
    </row>
    <row r="26" spans="1:6" x14ac:dyDescent="0.2">
      <c r="A26">
        <v>23</v>
      </c>
      <c r="B26">
        <v>46</v>
      </c>
    </row>
    <row r="27" spans="1:6" x14ac:dyDescent="0.2">
      <c r="A27">
        <v>24</v>
      </c>
      <c r="B27">
        <v>65</v>
      </c>
    </row>
    <row r="28" spans="1:6" x14ac:dyDescent="0.2">
      <c r="A28">
        <v>25</v>
      </c>
      <c r="B28">
        <v>294</v>
      </c>
    </row>
    <row r="29" spans="1:6" x14ac:dyDescent="0.2">
      <c r="A29">
        <v>26</v>
      </c>
      <c r="B29">
        <v>158</v>
      </c>
    </row>
    <row r="30" spans="1:6" x14ac:dyDescent="0.2">
      <c r="A30">
        <v>27</v>
      </c>
      <c r="B30">
        <v>0</v>
      </c>
    </row>
    <row r="31" spans="1:6" x14ac:dyDescent="0.2">
      <c r="A31">
        <v>28</v>
      </c>
      <c r="B31">
        <v>173</v>
      </c>
    </row>
    <row r="32" spans="1:6" x14ac:dyDescent="0.2">
      <c r="A32">
        <v>29</v>
      </c>
      <c r="B32">
        <v>272</v>
      </c>
    </row>
    <row r="33" spans="1:3" x14ac:dyDescent="0.2">
      <c r="A33">
        <v>30</v>
      </c>
      <c r="B33">
        <v>743</v>
      </c>
    </row>
    <row r="34" spans="1:3" x14ac:dyDescent="0.2">
      <c r="A34">
        <v>31</v>
      </c>
      <c r="B34">
        <v>512</v>
      </c>
    </row>
    <row r="35" spans="1:3" x14ac:dyDescent="0.2">
      <c r="A35" t="s">
        <v>9</v>
      </c>
      <c r="B35">
        <f>SUM(B4:B34)</f>
        <v>12916</v>
      </c>
      <c r="C35">
        <f>SUM(C4:C34)</f>
        <v>3604.5299999999997</v>
      </c>
    </row>
    <row r="36" spans="1:3" x14ac:dyDescent="0.2">
      <c r="A36" t="s">
        <v>11</v>
      </c>
      <c r="B36" s="12">
        <f>B35-C35-B65+F7</f>
        <v>9311.4700000000012</v>
      </c>
    </row>
    <row r="37" spans="1:3" x14ac:dyDescent="0.2">
      <c r="B37" s="12"/>
    </row>
    <row r="40" spans="1:3" x14ac:dyDescent="0.2">
      <c r="A40" t="s">
        <v>50</v>
      </c>
    </row>
    <row r="42" spans="1:3" x14ac:dyDescent="0.2">
      <c r="A42" t="s">
        <v>31</v>
      </c>
      <c r="C42" t="s">
        <v>38</v>
      </c>
    </row>
    <row r="65" spans="2:2" x14ac:dyDescent="0.2">
      <c r="B65">
        <f>SUM(B43:B64)</f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C9A0E-2A2F-6540-8031-F9578B2D6969}">
  <dimension ref="A2:F65"/>
  <sheetViews>
    <sheetView zoomScaleNormal="100" zoomScaleSheetLayoutView="100" workbookViewId="0">
      <selection activeCell="B19" sqref="B19:B33"/>
    </sheetView>
  </sheetViews>
  <sheetFormatPr defaultRowHeight="15" x14ac:dyDescent="0.2"/>
  <cols>
    <col min="1" max="1" width="10.22265625" customWidth="1"/>
  </cols>
  <sheetData>
    <row r="2" spans="1:6" x14ac:dyDescent="0.2">
      <c r="D2" s="4">
        <v>45383</v>
      </c>
    </row>
    <row r="3" spans="1:6" x14ac:dyDescent="0.2">
      <c r="B3" t="s">
        <v>8</v>
      </c>
      <c r="C3" t="s">
        <v>10</v>
      </c>
    </row>
    <row r="4" spans="1:6" x14ac:dyDescent="0.2">
      <c r="A4">
        <v>1</v>
      </c>
      <c r="B4">
        <v>0</v>
      </c>
      <c r="C4" s="2">
        <v>3871.21</v>
      </c>
      <c r="D4" t="s">
        <v>77</v>
      </c>
      <c r="E4" t="s">
        <v>1</v>
      </c>
    </row>
    <row r="5" spans="1:6" x14ac:dyDescent="0.2">
      <c r="A5">
        <v>2</v>
      </c>
      <c r="B5">
        <v>242</v>
      </c>
      <c r="C5" s="2">
        <v>92.94</v>
      </c>
      <c r="D5" t="s">
        <v>28</v>
      </c>
      <c r="E5" s="1" t="s">
        <v>0</v>
      </c>
    </row>
    <row r="6" spans="1:6" x14ac:dyDescent="0.2">
      <c r="A6">
        <v>3</v>
      </c>
      <c r="B6">
        <v>367</v>
      </c>
      <c r="C6" s="2">
        <v>88.14</v>
      </c>
      <c r="D6" t="s">
        <v>28</v>
      </c>
      <c r="E6" t="s">
        <v>2</v>
      </c>
    </row>
    <row r="7" spans="1:6" x14ac:dyDescent="0.2">
      <c r="A7">
        <v>4</v>
      </c>
      <c r="B7">
        <v>587</v>
      </c>
      <c r="C7" s="2">
        <v>88.15</v>
      </c>
      <c r="D7" t="s">
        <v>80</v>
      </c>
      <c r="F7" s="12">
        <f>SUM(F4:F6)</f>
        <v>0</v>
      </c>
    </row>
    <row r="8" spans="1:6" x14ac:dyDescent="0.2">
      <c r="A8">
        <v>5</v>
      </c>
      <c r="B8">
        <v>377</v>
      </c>
      <c r="C8" s="2"/>
    </row>
    <row r="9" spans="1:6" x14ac:dyDescent="0.2">
      <c r="A9">
        <v>6</v>
      </c>
      <c r="B9">
        <v>1582</v>
      </c>
      <c r="C9" s="2"/>
    </row>
    <row r="10" spans="1:6" x14ac:dyDescent="0.2">
      <c r="A10">
        <v>7</v>
      </c>
      <c r="B10">
        <v>0</v>
      </c>
      <c r="C10" s="2"/>
    </row>
    <row r="11" spans="1:6" x14ac:dyDescent="0.2">
      <c r="A11">
        <v>8</v>
      </c>
      <c r="B11">
        <v>656</v>
      </c>
      <c r="C11" s="2"/>
    </row>
    <row r="12" spans="1:6" x14ac:dyDescent="0.2">
      <c r="A12">
        <v>9</v>
      </c>
      <c r="B12">
        <v>446</v>
      </c>
      <c r="C12" s="2"/>
    </row>
    <row r="13" spans="1:6" x14ac:dyDescent="0.2">
      <c r="A13">
        <v>10</v>
      </c>
      <c r="B13" s="10">
        <v>444</v>
      </c>
      <c r="C13" s="2"/>
    </row>
    <row r="14" spans="1:6" x14ac:dyDescent="0.2">
      <c r="A14">
        <v>11</v>
      </c>
      <c r="B14">
        <v>446</v>
      </c>
      <c r="C14" s="2"/>
    </row>
    <row r="15" spans="1:6" x14ac:dyDescent="0.2">
      <c r="A15">
        <v>12</v>
      </c>
      <c r="B15">
        <v>593</v>
      </c>
      <c r="C15" s="2"/>
    </row>
    <row r="16" spans="1:6" x14ac:dyDescent="0.2">
      <c r="A16">
        <v>13</v>
      </c>
      <c r="B16">
        <v>916</v>
      </c>
      <c r="C16" s="2"/>
    </row>
    <row r="17" spans="1:6" x14ac:dyDescent="0.2">
      <c r="A17">
        <v>14</v>
      </c>
      <c r="B17">
        <v>0</v>
      </c>
      <c r="C17" s="2"/>
      <c r="F17" s="3"/>
    </row>
    <row r="18" spans="1:6" x14ac:dyDescent="0.2">
      <c r="A18">
        <v>15</v>
      </c>
      <c r="B18">
        <v>409</v>
      </c>
      <c r="C18" s="2"/>
    </row>
    <row r="19" spans="1:6" x14ac:dyDescent="0.2">
      <c r="A19">
        <v>16</v>
      </c>
      <c r="B19">
        <v>0</v>
      </c>
    </row>
    <row r="20" spans="1:6" x14ac:dyDescent="0.2">
      <c r="A20">
        <v>17</v>
      </c>
      <c r="B20">
        <v>332</v>
      </c>
    </row>
    <row r="21" spans="1:6" x14ac:dyDescent="0.2">
      <c r="A21">
        <v>18</v>
      </c>
      <c r="B21">
        <v>266</v>
      </c>
    </row>
    <row r="22" spans="1:6" x14ac:dyDescent="0.2">
      <c r="A22">
        <v>19</v>
      </c>
      <c r="B22">
        <v>411</v>
      </c>
    </row>
    <row r="23" spans="1:6" x14ac:dyDescent="0.2">
      <c r="A23">
        <v>20</v>
      </c>
      <c r="B23">
        <v>669</v>
      </c>
    </row>
    <row r="24" spans="1:6" x14ac:dyDescent="0.2">
      <c r="A24">
        <v>21</v>
      </c>
      <c r="B24">
        <v>548</v>
      </c>
    </row>
    <row r="25" spans="1:6" x14ac:dyDescent="0.2">
      <c r="A25">
        <v>22</v>
      </c>
      <c r="B25">
        <v>584</v>
      </c>
    </row>
    <row r="26" spans="1:6" x14ac:dyDescent="0.2">
      <c r="A26">
        <v>23</v>
      </c>
      <c r="B26">
        <v>42</v>
      </c>
    </row>
    <row r="27" spans="1:6" x14ac:dyDescent="0.2">
      <c r="A27">
        <v>24</v>
      </c>
      <c r="B27">
        <v>0</v>
      </c>
    </row>
    <row r="28" spans="1:6" x14ac:dyDescent="0.2">
      <c r="A28">
        <v>25</v>
      </c>
      <c r="B28">
        <v>387</v>
      </c>
    </row>
    <row r="29" spans="1:6" x14ac:dyDescent="0.2">
      <c r="A29">
        <v>26</v>
      </c>
      <c r="B29">
        <v>497</v>
      </c>
    </row>
    <row r="30" spans="1:6" x14ac:dyDescent="0.2">
      <c r="A30">
        <v>27</v>
      </c>
      <c r="B30">
        <v>1394</v>
      </c>
    </row>
    <row r="31" spans="1:6" x14ac:dyDescent="0.2">
      <c r="A31">
        <v>28</v>
      </c>
      <c r="B31">
        <v>0</v>
      </c>
    </row>
    <row r="32" spans="1:6" x14ac:dyDescent="0.2">
      <c r="A32">
        <v>29</v>
      </c>
      <c r="B32">
        <v>556</v>
      </c>
    </row>
    <row r="33" spans="1:3" x14ac:dyDescent="0.2">
      <c r="A33">
        <v>30</v>
      </c>
      <c r="B33">
        <v>407</v>
      </c>
    </row>
    <row r="35" spans="1:3" x14ac:dyDescent="0.2">
      <c r="A35" t="s">
        <v>9</v>
      </c>
      <c r="B35">
        <f>SUM(B4:B34)</f>
        <v>13158</v>
      </c>
      <c r="C35">
        <f>SUM(C4:C34)</f>
        <v>4140.4399999999996</v>
      </c>
    </row>
    <row r="36" spans="1:3" x14ac:dyDescent="0.2">
      <c r="A36" t="s">
        <v>11</v>
      </c>
      <c r="B36" s="12">
        <f>B35-C35-B65+F7</f>
        <v>9017.5600000000013</v>
      </c>
    </row>
    <row r="37" spans="1:3" x14ac:dyDescent="0.2">
      <c r="A37" t="s">
        <v>87</v>
      </c>
      <c r="B37" s="12">
        <f>B36-B38</f>
        <v>8617.5600000000013</v>
      </c>
    </row>
    <row r="38" spans="1:3" x14ac:dyDescent="0.2">
      <c r="A38" t="s">
        <v>86</v>
      </c>
      <c r="B38">
        <v>400</v>
      </c>
    </row>
    <row r="39" spans="1:3" x14ac:dyDescent="0.2">
      <c r="A39" t="s">
        <v>50</v>
      </c>
    </row>
    <row r="40" spans="1:3" x14ac:dyDescent="0.2">
      <c r="A40" t="s">
        <v>50</v>
      </c>
    </row>
    <row r="42" spans="1:3" x14ac:dyDescent="0.2">
      <c r="A42" t="s">
        <v>31</v>
      </c>
      <c r="C42" t="s">
        <v>38</v>
      </c>
    </row>
    <row r="49" spans="1:1" x14ac:dyDescent="0.2">
      <c r="A49" t="s">
        <v>88</v>
      </c>
    </row>
    <row r="50" spans="1:1" x14ac:dyDescent="0.2">
      <c r="A50">
        <v>270</v>
      </c>
    </row>
    <row r="65" spans="2:2" x14ac:dyDescent="0.2">
      <c r="B65">
        <f>SUM(B43:B64)</f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25707-B3BF-1644-A646-4A731118BC71}">
  <dimension ref="A2:F65"/>
  <sheetViews>
    <sheetView zoomScaleNormal="100" zoomScaleSheetLayoutView="100" workbookViewId="0">
      <selection activeCell="E31" sqref="E31"/>
    </sheetView>
  </sheetViews>
  <sheetFormatPr defaultRowHeight="15" x14ac:dyDescent="0.2"/>
  <sheetData>
    <row r="2" spans="1:6" x14ac:dyDescent="0.2">
      <c r="D2" s="4">
        <v>45352</v>
      </c>
    </row>
    <row r="3" spans="1:6" x14ac:dyDescent="0.2">
      <c r="B3" t="s">
        <v>8</v>
      </c>
      <c r="C3" t="s">
        <v>10</v>
      </c>
    </row>
    <row r="4" spans="1:6" x14ac:dyDescent="0.2">
      <c r="A4">
        <v>1</v>
      </c>
      <c r="B4">
        <v>692</v>
      </c>
      <c r="C4" s="2">
        <v>3754</v>
      </c>
      <c r="D4" t="s">
        <v>76</v>
      </c>
      <c r="E4" t="s">
        <v>1</v>
      </c>
    </row>
    <row r="5" spans="1:6" x14ac:dyDescent="0.2">
      <c r="A5">
        <v>2</v>
      </c>
      <c r="B5">
        <v>1094</v>
      </c>
      <c r="C5" s="2">
        <v>88.34</v>
      </c>
      <c r="D5" t="s">
        <v>28</v>
      </c>
      <c r="E5" s="1" t="s">
        <v>0</v>
      </c>
    </row>
    <row r="6" spans="1:6" x14ac:dyDescent="0.2">
      <c r="A6">
        <v>3</v>
      </c>
      <c r="B6">
        <v>704</v>
      </c>
      <c r="C6" s="2">
        <v>29.09</v>
      </c>
      <c r="D6" t="s">
        <v>85</v>
      </c>
      <c r="E6" t="s">
        <v>2</v>
      </c>
    </row>
    <row r="7" spans="1:6" x14ac:dyDescent="0.2">
      <c r="A7">
        <v>4</v>
      </c>
      <c r="B7">
        <v>394</v>
      </c>
      <c r="C7" s="2"/>
      <c r="F7" s="12">
        <f>SUM(F4:F6)</f>
        <v>0</v>
      </c>
    </row>
    <row r="8" spans="1:6" x14ac:dyDescent="0.2">
      <c r="A8">
        <v>5</v>
      </c>
      <c r="B8">
        <v>560</v>
      </c>
      <c r="C8" s="2">
        <v>104.03</v>
      </c>
      <c r="D8" t="s">
        <v>80</v>
      </c>
    </row>
    <row r="9" spans="1:6" x14ac:dyDescent="0.2">
      <c r="A9">
        <v>6</v>
      </c>
      <c r="B9">
        <v>434</v>
      </c>
      <c r="C9" s="2"/>
    </row>
    <row r="10" spans="1:6" x14ac:dyDescent="0.2">
      <c r="A10">
        <v>7</v>
      </c>
      <c r="B10">
        <v>537</v>
      </c>
      <c r="C10" s="2"/>
    </row>
    <row r="11" spans="1:6" x14ac:dyDescent="0.2">
      <c r="A11">
        <v>8</v>
      </c>
      <c r="B11">
        <v>368</v>
      </c>
      <c r="C11" s="2"/>
    </row>
    <row r="12" spans="1:6" x14ac:dyDescent="0.2">
      <c r="A12">
        <v>9</v>
      </c>
      <c r="B12">
        <v>1500</v>
      </c>
      <c r="C12" s="2"/>
    </row>
    <row r="13" spans="1:6" x14ac:dyDescent="0.2">
      <c r="A13">
        <v>10</v>
      </c>
      <c r="B13" s="10">
        <v>1006</v>
      </c>
      <c r="C13" s="2"/>
    </row>
    <row r="14" spans="1:6" x14ac:dyDescent="0.2">
      <c r="A14">
        <v>11</v>
      </c>
      <c r="B14">
        <v>648</v>
      </c>
      <c r="C14" s="2"/>
    </row>
    <row r="15" spans="1:6" x14ac:dyDescent="0.2">
      <c r="A15">
        <v>12</v>
      </c>
      <c r="B15">
        <v>587</v>
      </c>
      <c r="C15" s="2"/>
    </row>
    <row r="16" spans="1:6" x14ac:dyDescent="0.2">
      <c r="A16">
        <v>13</v>
      </c>
      <c r="B16">
        <v>592</v>
      </c>
      <c r="C16" s="2"/>
    </row>
    <row r="17" spans="1:6" x14ac:dyDescent="0.2">
      <c r="A17">
        <v>14</v>
      </c>
      <c r="B17">
        <v>580</v>
      </c>
      <c r="C17" s="2"/>
      <c r="F17" s="3"/>
    </row>
    <row r="18" spans="1:6" x14ac:dyDescent="0.2">
      <c r="A18">
        <v>15</v>
      </c>
      <c r="B18">
        <v>348</v>
      </c>
      <c r="C18" s="2"/>
    </row>
    <row r="19" spans="1:6" x14ac:dyDescent="0.2">
      <c r="A19">
        <v>16</v>
      </c>
      <c r="B19">
        <v>1107</v>
      </c>
    </row>
    <row r="20" spans="1:6" x14ac:dyDescent="0.2">
      <c r="A20">
        <v>17</v>
      </c>
      <c r="B20">
        <v>0</v>
      </c>
    </row>
    <row r="21" spans="1:6" x14ac:dyDescent="0.2">
      <c r="A21">
        <v>18</v>
      </c>
      <c r="B21">
        <v>439</v>
      </c>
    </row>
    <row r="22" spans="1:6" x14ac:dyDescent="0.2">
      <c r="A22">
        <v>19</v>
      </c>
      <c r="B22">
        <v>408</v>
      </c>
    </row>
    <row r="23" spans="1:6" x14ac:dyDescent="0.2">
      <c r="A23">
        <v>20</v>
      </c>
      <c r="B23">
        <v>667</v>
      </c>
    </row>
    <row r="24" spans="1:6" x14ac:dyDescent="0.2">
      <c r="A24">
        <v>21</v>
      </c>
      <c r="B24">
        <v>408</v>
      </c>
    </row>
    <row r="25" spans="1:6" x14ac:dyDescent="0.2">
      <c r="A25">
        <v>22</v>
      </c>
      <c r="B25">
        <v>578</v>
      </c>
    </row>
    <row r="26" spans="1:6" x14ac:dyDescent="0.2">
      <c r="A26">
        <v>23</v>
      </c>
      <c r="B26">
        <v>1038</v>
      </c>
    </row>
    <row r="27" spans="1:6" x14ac:dyDescent="0.2">
      <c r="A27">
        <v>24</v>
      </c>
      <c r="B27">
        <v>817</v>
      </c>
    </row>
    <row r="28" spans="1:6" x14ac:dyDescent="0.2">
      <c r="A28">
        <v>25</v>
      </c>
      <c r="B28">
        <v>503</v>
      </c>
    </row>
    <row r="29" spans="1:6" x14ac:dyDescent="0.2">
      <c r="A29">
        <v>26</v>
      </c>
      <c r="B29">
        <v>551</v>
      </c>
    </row>
    <row r="30" spans="1:6" x14ac:dyDescent="0.2">
      <c r="A30">
        <v>27</v>
      </c>
      <c r="B30">
        <v>362</v>
      </c>
    </row>
    <row r="31" spans="1:6" x14ac:dyDescent="0.2">
      <c r="A31">
        <v>28</v>
      </c>
      <c r="B31">
        <v>0</v>
      </c>
    </row>
    <row r="32" spans="1:6" x14ac:dyDescent="0.2">
      <c r="A32">
        <v>29</v>
      </c>
      <c r="B32">
        <v>867</v>
      </c>
    </row>
    <row r="33" spans="1:3" x14ac:dyDescent="0.2">
      <c r="A33">
        <v>30</v>
      </c>
      <c r="B33">
        <v>658</v>
      </c>
    </row>
    <row r="34" spans="1:3" x14ac:dyDescent="0.2">
      <c r="A34">
        <v>31</v>
      </c>
      <c r="B34">
        <v>0</v>
      </c>
    </row>
    <row r="35" spans="1:3" x14ac:dyDescent="0.2">
      <c r="A35" t="s">
        <v>9</v>
      </c>
      <c r="B35">
        <f>SUM(B4:B34)</f>
        <v>18447</v>
      </c>
      <c r="C35">
        <f>SUM(C4:C34)</f>
        <v>3975.4600000000005</v>
      </c>
    </row>
    <row r="36" spans="1:3" x14ac:dyDescent="0.2">
      <c r="A36" t="s">
        <v>11</v>
      </c>
      <c r="B36">
        <f>B35-C35-B65+F7</f>
        <v>14471.539999999999</v>
      </c>
    </row>
    <row r="37" spans="1:3" x14ac:dyDescent="0.2">
      <c r="A37" t="s">
        <v>84</v>
      </c>
      <c r="B37">
        <f>B36-11300-200</f>
        <v>2971.5399999999991</v>
      </c>
    </row>
    <row r="40" spans="1:3" x14ac:dyDescent="0.2">
      <c r="A40" t="s">
        <v>50</v>
      </c>
    </row>
    <row r="42" spans="1:3" x14ac:dyDescent="0.2">
      <c r="A42" t="s">
        <v>31</v>
      </c>
      <c r="C42" t="s">
        <v>38</v>
      </c>
    </row>
    <row r="65" spans="2:2" x14ac:dyDescent="0.2">
      <c r="B65">
        <f>SUM(B43:B64)</f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FDA9-C1D7-F049-82DF-A10C2BD3E027}">
  <dimension ref="A2:F65"/>
  <sheetViews>
    <sheetView zoomScaleNormal="100" zoomScaleSheetLayoutView="100" workbookViewId="0">
      <selection activeCell="F27" sqref="F27"/>
    </sheetView>
  </sheetViews>
  <sheetFormatPr defaultRowHeight="15" x14ac:dyDescent="0.2"/>
  <sheetData>
    <row r="2" spans="1:6" x14ac:dyDescent="0.2">
      <c r="D2" s="4">
        <v>45323</v>
      </c>
    </row>
    <row r="3" spans="1:6" x14ac:dyDescent="0.2">
      <c r="B3" t="s">
        <v>8</v>
      </c>
      <c r="C3" t="s">
        <v>10</v>
      </c>
    </row>
    <row r="4" spans="1:6" x14ac:dyDescent="0.2">
      <c r="A4">
        <v>1</v>
      </c>
      <c r="B4">
        <v>577</v>
      </c>
      <c r="C4" s="2">
        <v>3246.46</v>
      </c>
      <c r="D4" t="s">
        <v>76</v>
      </c>
      <c r="E4" t="s">
        <v>1</v>
      </c>
    </row>
    <row r="5" spans="1:6" x14ac:dyDescent="0.2">
      <c r="A5">
        <v>2</v>
      </c>
      <c r="B5">
        <v>494</v>
      </c>
      <c r="C5" s="2">
        <v>88.34</v>
      </c>
      <c r="D5" t="s">
        <v>28</v>
      </c>
      <c r="E5" s="1" t="s">
        <v>0</v>
      </c>
    </row>
    <row r="6" spans="1:6" x14ac:dyDescent="0.2">
      <c r="A6">
        <v>3</v>
      </c>
      <c r="B6">
        <v>1536</v>
      </c>
      <c r="C6" s="2">
        <v>43.6</v>
      </c>
      <c r="E6" t="s">
        <v>2</v>
      </c>
    </row>
    <row r="7" spans="1:6" x14ac:dyDescent="0.2">
      <c r="A7">
        <v>4</v>
      </c>
      <c r="B7">
        <v>939</v>
      </c>
      <c r="C7" s="2">
        <v>53.88</v>
      </c>
      <c r="F7" s="12">
        <f>SUM(F4:F6)</f>
        <v>0</v>
      </c>
    </row>
    <row r="8" spans="1:6" x14ac:dyDescent="0.2">
      <c r="A8">
        <v>5</v>
      </c>
      <c r="B8">
        <v>247</v>
      </c>
      <c r="C8" s="2">
        <v>50</v>
      </c>
    </row>
    <row r="9" spans="1:6" x14ac:dyDescent="0.2">
      <c r="A9">
        <v>6</v>
      </c>
      <c r="B9">
        <v>167</v>
      </c>
      <c r="C9" s="2">
        <v>200</v>
      </c>
    </row>
    <row r="10" spans="1:6" x14ac:dyDescent="0.2">
      <c r="A10">
        <v>7</v>
      </c>
      <c r="B10">
        <v>540</v>
      </c>
      <c r="C10" s="2"/>
    </row>
    <row r="11" spans="1:6" x14ac:dyDescent="0.2">
      <c r="A11">
        <v>8</v>
      </c>
      <c r="B11">
        <v>827</v>
      </c>
      <c r="C11" s="2"/>
    </row>
    <row r="12" spans="1:6" x14ac:dyDescent="0.2">
      <c r="A12">
        <v>9</v>
      </c>
      <c r="B12">
        <v>750</v>
      </c>
      <c r="C12" s="2"/>
    </row>
    <row r="13" spans="1:6" x14ac:dyDescent="0.2">
      <c r="A13">
        <v>10</v>
      </c>
      <c r="B13" s="10">
        <v>1467</v>
      </c>
      <c r="C13" s="2"/>
    </row>
    <row r="14" spans="1:6" x14ac:dyDescent="0.2">
      <c r="A14">
        <v>11</v>
      </c>
      <c r="B14">
        <v>848</v>
      </c>
      <c r="C14" s="2"/>
    </row>
    <row r="15" spans="1:6" x14ac:dyDescent="0.2">
      <c r="A15">
        <v>12</v>
      </c>
      <c r="B15">
        <v>639</v>
      </c>
      <c r="C15" s="2"/>
    </row>
    <row r="16" spans="1:6" x14ac:dyDescent="0.2">
      <c r="A16">
        <v>13</v>
      </c>
      <c r="B16">
        <v>184</v>
      </c>
      <c r="C16" s="2"/>
    </row>
    <row r="17" spans="1:6" x14ac:dyDescent="0.2">
      <c r="A17">
        <v>14</v>
      </c>
      <c r="B17">
        <v>318</v>
      </c>
      <c r="C17" s="2"/>
      <c r="F17" s="3"/>
    </row>
    <row r="18" spans="1:6" x14ac:dyDescent="0.2">
      <c r="A18">
        <v>15</v>
      </c>
      <c r="B18">
        <v>291</v>
      </c>
      <c r="C18" s="2"/>
    </row>
    <row r="19" spans="1:6" x14ac:dyDescent="0.2">
      <c r="A19">
        <v>16</v>
      </c>
      <c r="B19">
        <v>687</v>
      </c>
    </row>
    <row r="20" spans="1:6" x14ac:dyDescent="0.2">
      <c r="A20">
        <v>17</v>
      </c>
      <c r="B20">
        <v>1163</v>
      </c>
    </row>
    <row r="21" spans="1:6" x14ac:dyDescent="0.2">
      <c r="A21">
        <v>18</v>
      </c>
      <c r="B21">
        <v>557</v>
      </c>
    </row>
    <row r="22" spans="1:6" x14ac:dyDescent="0.2">
      <c r="A22">
        <v>19</v>
      </c>
      <c r="B22">
        <v>180</v>
      </c>
    </row>
    <row r="23" spans="1:6" x14ac:dyDescent="0.2">
      <c r="A23">
        <v>20</v>
      </c>
      <c r="B23">
        <v>474</v>
      </c>
    </row>
    <row r="24" spans="1:6" x14ac:dyDescent="0.2">
      <c r="A24">
        <v>21</v>
      </c>
      <c r="B24">
        <v>305</v>
      </c>
    </row>
    <row r="25" spans="1:6" x14ac:dyDescent="0.2">
      <c r="A25">
        <v>22</v>
      </c>
      <c r="B25">
        <v>616</v>
      </c>
    </row>
    <row r="26" spans="1:6" x14ac:dyDescent="0.2">
      <c r="A26">
        <v>23</v>
      </c>
      <c r="B26">
        <v>393</v>
      </c>
    </row>
    <row r="27" spans="1:6" x14ac:dyDescent="0.2">
      <c r="A27">
        <v>24</v>
      </c>
      <c r="B27">
        <v>342</v>
      </c>
    </row>
    <row r="28" spans="1:6" x14ac:dyDescent="0.2">
      <c r="A28">
        <v>25</v>
      </c>
      <c r="B28">
        <v>0</v>
      </c>
    </row>
    <row r="29" spans="1:6" x14ac:dyDescent="0.2">
      <c r="A29">
        <v>26</v>
      </c>
      <c r="B29">
        <v>445</v>
      </c>
    </row>
    <row r="30" spans="1:6" x14ac:dyDescent="0.2">
      <c r="A30">
        <v>27</v>
      </c>
      <c r="B30">
        <v>401</v>
      </c>
    </row>
    <row r="31" spans="1:6" x14ac:dyDescent="0.2">
      <c r="A31">
        <v>28</v>
      </c>
      <c r="B31">
        <v>375</v>
      </c>
    </row>
    <row r="32" spans="1:6" x14ac:dyDescent="0.2">
      <c r="A32">
        <v>29</v>
      </c>
      <c r="B32">
        <v>395</v>
      </c>
    </row>
    <row r="35" spans="1:3" x14ac:dyDescent="0.2">
      <c r="A35" t="s">
        <v>9</v>
      </c>
      <c r="B35">
        <f>SUM(B4:B34)</f>
        <v>16157</v>
      </c>
      <c r="C35">
        <f>SUM(C4:C34)</f>
        <v>3682.28</v>
      </c>
    </row>
    <row r="36" spans="1:3" x14ac:dyDescent="0.2">
      <c r="A36" t="s">
        <v>11</v>
      </c>
      <c r="B36">
        <f>B35-C35-B65+F7</f>
        <v>12474.72</v>
      </c>
    </row>
    <row r="37" spans="1:3" x14ac:dyDescent="0.2">
      <c r="A37" t="s">
        <v>84</v>
      </c>
      <c r="B37">
        <f>B36-9600</f>
        <v>2874.7199999999993</v>
      </c>
    </row>
    <row r="40" spans="1:3" x14ac:dyDescent="0.2">
      <c r="A40" t="s">
        <v>50</v>
      </c>
    </row>
    <row r="42" spans="1:3" x14ac:dyDescent="0.2">
      <c r="A42" t="s">
        <v>31</v>
      </c>
      <c r="C42" t="s">
        <v>38</v>
      </c>
    </row>
    <row r="65" spans="2:2" x14ac:dyDescent="0.2">
      <c r="B65">
        <f>SUM(B43:B64)</f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7DF3-6F43-474B-9A03-DA52BF0CD745}">
  <dimension ref="A2:AK65"/>
  <sheetViews>
    <sheetView zoomScaleNormal="100" zoomScaleSheetLayoutView="100" workbookViewId="0">
      <selection activeCell="B5" sqref="B5:B11"/>
    </sheetView>
  </sheetViews>
  <sheetFormatPr defaultRowHeight="15" x14ac:dyDescent="0.2"/>
  <sheetData>
    <row r="2" spans="1:6" x14ac:dyDescent="0.2">
      <c r="D2" s="4">
        <v>45292</v>
      </c>
    </row>
    <row r="3" spans="1:6" x14ac:dyDescent="0.2">
      <c r="B3" t="s">
        <v>8</v>
      </c>
      <c r="C3" t="s">
        <v>10</v>
      </c>
    </row>
    <row r="4" spans="1:6" x14ac:dyDescent="0.2">
      <c r="A4">
        <v>1</v>
      </c>
      <c r="B4">
        <v>0</v>
      </c>
      <c r="C4" s="2">
        <v>3496.99</v>
      </c>
      <c r="D4" t="s">
        <v>76</v>
      </c>
      <c r="E4" t="s">
        <v>1</v>
      </c>
    </row>
    <row r="5" spans="1:6" x14ac:dyDescent="0.2">
      <c r="A5">
        <v>2</v>
      </c>
      <c r="B5">
        <v>795</v>
      </c>
      <c r="C5" s="2">
        <v>74.739999999999995</v>
      </c>
      <c r="D5" t="s">
        <v>28</v>
      </c>
      <c r="E5" s="1" t="s">
        <v>0</v>
      </c>
    </row>
    <row r="6" spans="1:6" x14ac:dyDescent="0.2">
      <c r="A6">
        <v>3</v>
      </c>
      <c r="B6">
        <v>603</v>
      </c>
      <c r="C6" s="2">
        <v>381</v>
      </c>
      <c r="D6" t="s">
        <v>78</v>
      </c>
      <c r="E6" t="s">
        <v>2</v>
      </c>
    </row>
    <row r="7" spans="1:6" x14ac:dyDescent="0.2">
      <c r="A7">
        <v>4</v>
      </c>
      <c r="B7">
        <v>906</v>
      </c>
      <c r="C7" s="2">
        <v>200</v>
      </c>
      <c r="D7" t="s">
        <v>52</v>
      </c>
      <c r="F7">
        <f>SUM(F4:F6)</f>
        <v>0</v>
      </c>
    </row>
    <row r="8" spans="1:6" x14ac:dyDescent="0.2">
      <c r="A8">
        <v>5</v>
      </c>
      <c r="B8">
        <v>927</v>
      </c>
      <c r="C8" s="2">
        <v>301</v>
      </c>
    </row>
    <row r="9" spans="1:6" x14ac:dyDescent="0.2">
      <c r="A9">
        <v>6</v>
      </c>
      <c r="B9">
        <v>1373</v>
      </c>
      <c r="C9" s="2">
        <v>500</v>
      </c>
    </row>
    <row r="10" spans="1:6" x14ac:dyDescent="0.2">
      <c r="A10">
        <v>7</v>
      </c>
      <c r="B10">
        <v>906</v>
      </c>
      <c r="C10" s="2"/>
    </row>
    <row r="11" spans="1:6" x14ac:dyDescent="0.2">
      <c r="A11">
        <v>8</v>
      </c>
      <c r="B11">
        <v>1062</v>
      </c>
      <c r="C11" s="2"/>
    </row>
    <row r="12" spans="1:6" x14ac:dyDescent="0.2">
      <c r="A12">
        <v>9</v>
      </c>
      <c r="B12">
        <v>564</v>
      </c>
      <c r="C12" s="2"/>
    </row>
    <row r="13" spans="1:6" x14ac:dyDescent="0.2">
      <c r="A13">
        <v>10</v>
      </c>
      <c r="B13" s="10">
        <v>933</v>
      </c>
      <c r="C13" s="2"/>
    </row>
    <row r="14" spans="1:6" x14ac:dyDescent="0.2">
      <c r="A14">
        <v>11</v>
      </c>
      <c r="B14">
        <v>569</v>
      </c>
      <c r="C14" s="2"/>
    </row>
    <row r="15" spans="1:6" x14ac:dyDescent="0.2">
      <c r="A15">
        <v>12</v>
      </c>
      <c r="B15">
        <v>489</v>
      </c>
      <c r="C15" s="2"/>
    </row>
    <row r="16" spans="1:6" x14ac:dyDescent="0.2">
      <c r="A16">
        <v>13</v>
      </c>
      <c r="B16">
        <v>0</v>
      </c>
      <c r="C16" s="2"/>
    </row>
    <row r="17" spans="1:37" x14ac:dyDescent="0.2">
      <c r="A17">
        <v>14</v>
      </c>
      <c r="B17">
        <v>683</v>
      </c>
      <c r="C17" s="2"/>
      <c r="F17" s="3"/>
    </row>
    <row r="18" spans="1:37" x14ac:dyDescent="0.2">
      <c r="A18">
        <v>15</v>
      </c>
      <c r="B18">
        <v>482</v>
      </c>
      <c r="C18" s="2"/>
    </row>
    <row r="19" spans="1:37" x14ac:dyDescent="0.2">
      <c r="A19">
        <v>16</v>
      </c>
      <c r="B19">
        <v>773</v>
      </c>
    </row>
    <row r="20" spans="1:37" x14ac:dyDescent="0.2">
      <c r="A20">
        <v>17</v>
      </c>
      <c r="B20">
        <v>748</v>
      </c>
    </row>
    <row r="21" spans="1:37" x14ac:dyDescent="0.2">
      <c r="A21">
        <v>18</v>
      </c>
      <c r="B21">
        <v>887</v>
      </c>
      <c r="AK21" t="s">
        <v>83</v>
      </c>
    </row>
    <row r="22" spans="1:37" x14ac:dyDescent="0.2">
      <c r="A22">
        <v>19</v>
      </c>
      <c r="B22">
        <v>662</v>
      </c>
    </row>
    <row r="23" spans="1:37" x14ac:dyDescent="0.2">
      <c r="A23">
        <v>20</v>
      </c>
      <c r="B23">
        <v>935</v>
      </c>
    </row>
    <row r="24" spans="1:37" x14ac:dyDescent="0.2">
      <c r="A24">
        <v>21</v>
      </c>
      <c r="B24">
        <v>602</v>
      </c>
    </row>
    <row r="25" spans="1:37" x14ac:dyDescent="0.2">
      <c r="A25">
        <v>22</v>
      </c>
      <c r="B25">
        <v>572</v>
      </c>
    </row>
    <row r="26" spans="1:37" x14ac:dyDescent="0.2">
      <c r="A26">
        <v>23</v>
      </c>
      <c r="B26">
        <v>551</v>
      </c>
    </row>
    <row r="27" spans="1:37" x14ac:dyDescent="0.2">
      <c r="A27">
        <v>24</v>
      </c>
      <c r="B27">
        <v>640</v>
      </c>
    </row>
    <row r="28" spans="1:37" x14ac:dyDescent="0.2">
      <c r="A28">
        <v>25</v>
      </c>
      <c r="B28">
        <v>515</v>
      </c>
    </row>
    <row r="29" spans="1:37" x14ac:dyDescent="0.2">
      <c r="A29">
        <v>26</v>
      </c>
      <c r="B29">
        <v>664</v>
      </c>
    </row>
    <row r="30" spans="1:37" x14ac:dyDescent="0.2">
      <c r="A30">
        <v>27</v>
      </c>
      <c r="B30">
        <v>909</v>
      </c>
    </row>
    <row r="31" spans="1:37" x14ac:dyDescent="0.2">
      <c r="A31">
        <v>28</v>
      </c>
      <c r="B31">
        <v>131</v>
      </c>
    </row>
    <row r="32" spans="1:37" x14ac:dyDescent="0.2">
      <c r="A32">
        <v>29</v>
      </c>
      <c r="B32">
        <v>850</v>
      </c>
    </row>
    <row r="33" spans="1:3" x14ac:dyDescent="0.2">
      <c r="A33">
        <v>30</v>
      </c>
      <c r="B33">
        <v>842</v>
      </c>
    </row>
    <row r="34" spans="1:3" x14ac:dyDescent="0.2">
      <c r="A34">
        <v>31</v>
      </c>
      <c r="B34">
        <v>636</v>
      </c>
    </row>
    <row r="35" spans="1:3" x14ac:dyDescent="0.2">
      <c r="A35" t="s">
        <v>9</v>
      </c>
      <c r="B35">
        <f>SUM(B4:B34)</f>
        <v>21209</v>
      </c>
      <c r="C35">
        <f>SUM(C4:C34)</f>
        <v>4953.7299999999996</v>
      </c>
    </row>
    <row r="36" spans="1:3" x14ac:dyDescent="0.2">
      <c r="A36" t="s">
        <v>11</v>
      </c>
      <c r="B36">
        <f>B35-C35-B65+F7</f>
        <v>16255.27</v>
      </c>
    </row>
    <row r="40" spans="1:3" x14ac:dyDescent="0.2">
      <c r="A40" t="s">
        <v>50</v>
      </c>
    </row>
    <row r="42" spans="1:3" x14ac:dyDescent="0.2">
      <c r="A42" t="s">
        <v>31</v>
      </c>
      <c r="C42" t="s">
        <v>38</v>
      </c>
    </row>
    <row r="65" spans="2:2" x14ac:dyDescent="0.2">
      <c r="B65">
        <f>SUM(B43:B64)</f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7B06-84FB-D04A-82DF-85778495327A}">
  <dimension ref="A2:F65"/>
  <sheetViews>
    <sheetView zoomScaleNormal="100" zoomScaleSheetLayoutView="100" workbookViewId="0">
      <selection activeCell="B5" sqref="B5:B27"/>
    </sheetView>
  </sheetViews>
  <sheetFormatPr defaultRowHeight="15" x14ac:dyDescent="0.2"/>
  <cols>
    <col min="1" max="1" width="8.875" customWidth="1"/>
  </cols>
  <sheetData>
    <row r="2" spans="1:6" x14ac:dyDescent="0.2">
      <c r="D2" s="4">
        <v>45261</v>
      </c>
    </row>
    <row r="3" spans="1:6" x14ac:dyDescent="0.2">
      <c r="B3" t="s">
        <v>8</v>
      </c>
      <c r="C3" t="s">
        <v>10</v>
      </c>
    </row>
    <row r="4" spans="1:6" x14ac:dyDescent="0.2">
      <c r="C4" s="2">
        <v>2614.79</v>
      </c>
      <c r="D4" t="s">
        <v>77</v>
      </c>
      <c r="E4" t="s">
        <v>1</v>
      </c>
    </row>
    <row r="5" spans="1:6" x14ac:dyDescent="0.2">
      <c r="A5">
        <v>2</v>
      </c>
      <c r="B5">
        <v>1375</v>
      </c>
      <c r="C5" s="2">
        <v>99.38</v>
      </c>
      <c r="D5" t="s">
        <v>28</v>
      </c>
      <c r="E5" s="1" t="s">
        <v>0</v>
      </c>
    </row>
    <row r="6" spans="1:6" x14ac:dyDescent="0.2">
      <c r="A6">
        <v>3</v>
      </c>
      <c r="B6">
        <v>752</v>
      </c>
      <c r="C6" s="2">
        <v>87.97</v>
      </c>
      <c r="D6" t="s">
        <v>28</v>
      </c>
      <c r="E6" t="s">
        <v>2</v>
      </c>
    </row>
    <row r="7" spans="1:6" x14ac:dyDescent="0.2">
      <c r="A7">
        <v>4</v>
      </c>
      <c r="B7">
        <v>219</v>
      </c>
      <c r="C7" s="2">
        <v>21</v>
      </c>
      <c r="F7">
        <f>SUM(F4:F6)</f>
        <v>0</v>
      </c>
    </row>
    <row r="8" spans="1:6" x14ac:dyDescent="0.2">
      <c r="A8">
        <v>5</v>
      </c>
      <c r="B8">
        <v>827</v>
      </c>
      <c r="C8" s="2"/>
    </row>
    <row r="9" spans="1:6" x14ac:dyDescent="0.2">
      <c r="A9">
        <v>6</v>
      </c>
      <c r="B9">
        <v>837</v>
      </c>
      <c r="C9" s="2">
        <v>242.7</v>
      </c>
      <c r="D9" t="s">
        <v>81</v>
      </c>
    </row>
    <row r="10" spans="1:6" x14ac:dyDescent="0.2">
      <c r="A10">
        <v>7</v>
      </c>
      <c r="B10">
        <v>0</v>
      </c>
      <c r="C10" s="2">
        <v>236.96</v>
      </c>
      <c r="D10" t="s">
        <v>81</v>
      </c>
    </row>
    <row r="11" spans="1:6" x14ac:dyDescent="0.2">
      <c r="A11">
        <v>8</v>
      </c>
      <c r="B11">
        <v>978</v>
      </c>
      <c r="C11" s="2">
        <v>88.15</v>
      </c>
      <c r="D11" t="s">
        <v>80</v>
      </c>
    </row>
    <row r="12" spans="1:6" x14ac:dyDescent="0.2">
      <c r="A12">
        <v>9</v>
      </c>
      <c r="B12">
        <v>1781</v>
      </c>
      <c r="C12" s="2">
        <v>75.81</v>
      </c>
      <c r="D12" t="s">
        <v>82</v>
      </c>
    </row>
    <row r="13" spans="1:6" x14ac:dyDescent="0.2">
      <c r="A13">
        <v>10</v>
      </c>
      <c r="B13" s="10">
        <v>664</v>
      </c>
      <c r="C13" s="2">
        <v>119.7</v>
      </c>
      <c r="D13" t="s">
        <v>82</v>
      </c>
    </row>
    <row r="14" spans="1:6" x14ac:dyDescent="0.2">
      <c r="A14">
        <v>11</v>
      </c>
      <c r="B14">
        <v>806</v>
      </c>
      <c r="C14" s="2">
        <v>11.2</v>
      </c>
    </row>
    <row r="15" spans="1:6" x14ac:dyDescent="0.2">
      <c r="A15">
        <v>12</v>
      </c>
      <c r="B15">
        <v>854</v>
      </c>
      <c r="C15" s="2"/>
    </row>
    <row r="16" spans="1:6" x14ac:dyDescent="0.2">
      <c r="A16">
        <v>13</v>
      </c>
      <c r="B16">
        <v>850</v>
      </c>
      <c r="C16" s="2"/>
    </row>
    <row r="17" spans="1:6" x14ac:dyDescent="0.2">
      <c r="A17">
        <v>14</v>
      </c>
      <c r="B17">
        <v>621</v>
      </c>
      <c r="C17" s="2"/>
      <c r="F17" s="3"/>
    </row>
    <row r="18" spans="1:6" x14ac:dyDescent="0.2">
      <c r="A18">
        <v>15</v>
      </c>
      <c r="B18">
        <v>1051</v>
      </c>
      <c r="C18" s="2"/>
    </row>
    <row r="19" spans="1:6" x14ac:dyDescent="0.2">
      <c r="A19">
        <v>16</v>
      </c>
      <c r="B19">
        <v>2222</v>
      </c>
    </row>
    <row r="20" spans="1:6" x14ac:dyDescent="0.2">
      <c r="A20">
        <v>17</v>
      </c>
      <c r="B20">
        <v>1258</v>
      </c>
    </row>
    <row r="21" spans="1:6" x14ac:dyDescent="0.2">
      <c r="A21">
        <v>18</v>
      </c>
      <c r="B21">
        <v>926</v>
      </c>
    </row>
    <row r="22" spans="1:6" x14ac:dyDescent="0.2">
      <c r="A22">
        <v>19</v>
      </c>
      <c r="B22">
        <v>1289</v>
      </c>
    </row>
    <row r="23" spans="1:6" x14ac:dyDescent="0.2">
      <c r="A23">
        <v>20</v>
      </c>
      <c r="B23">
        <v>689</v>
      </c>
    </row>
    <row r="24" spans="1:6" x14ac:dyDescent="0.2">
      <c r="A24">
        <v>21</v>
      </c>
      <c r="B24">
        <v>1158</v>
      </c>
    </row>
    <row r="25" spans="1:6" x14ac:dyDescent="0.2">
      <c r="A25">
        <v>22</v>
      </c>
      <c r="B25">
        <v>1358</v>
      </c>
    </row>
    <row r="26" spans="1:6" x14ac:dyDescent="0.2">
      <c r="A26">
        <v>23</v>
      </c>
      <c r="B26">
        <v>1130</v>
      </c>
    </row>
    <row r="27" spans="1:6" x14ac:dyDescent="0.2">
      <c r="A27">
        <v>24</v>
      </c>
      <c r="B27">
        <v>295</v>
      </c>
    </row>
    <row r="28" spans="1:6" x14ac:dyDescent="0.2">
      <c r="A28">
        <v>25</v>
      </c>
      <c r="B28">
        <v>0</v>
      </c>
    </row>
    <row r="29" spans="1:6" x14ac:dyDescent="0.2">
      <c r="A29">
        <v>26</v>
      </c>
      <c r="B29">
        <v>900</v>
      </c>
    </row>
    <row r="30" spans="1:6" x14ac:dyDescent="0.2">
      <c r="A30">
        <v>27</v>
      </c>
      <c r="B30">
        <v>926</v>
      </c>
    </row>
    <row r="31" spans="1:6" x14ac:dyDescent="0.2">
      <c r="A31">
        <v>28</v>
      </c>
      <c r="B31">
        <v>936</v>
      </c>
    </row>
    <row r="32" spans="1:6" x14ac:dyDescent="0.2">
      <c r="A32">
        <v>29</v>
      </c>
      <c r="B32">
        <v>533</v>
      </c>
    </row>
    <row r="33" spans="1:3" x14ac:dyDescent="0.2">
      <c r="A33">
        <v>30</v>
      </c>
      <c r="B33">
        <v>1266</v>
      </c>
    </row>
    <row r="34" spans="1:3" x14ac:dyDescent="0.2">
      <c r="A34">
        <v>31</v>
      </c>
      <c r="B34">
        <v>0</v>
      </c>
    </row>
    <row r="35" spans="1:3" x14ac:dyDescent="0.2">
      <c r="A35" t="s">
        <v>9</v>
      </c>
      <c r="B35">
        <f>SUM(B4:B34)</f>
        <v>26501</v>
      </c>
      <c r="C35">
        <f>SUM(C4:C34)</f>
        <v>3597.6599999999994</v>
      </c>
    </row>
    <row r="36" spans="1:3" x14ac:dyDescent="0.2">
      <c r="A36" t="s">
        <v>11</v>
      </c>
      <c r="B36">
        <f>B35-C35-B65+F7</f>
        <v>22903.34</v>
      </c>
    </row>
    <row r="40" spans="1:3" x14ac:dyDescent="0.2">
      <c r="A40" t="s">
        <v>50</v>
      </c>
    </row>
    <row r="42" spans="1:3" x14ac:dyDescent="0.2">
      <c r="A42" t="s">
        <v>31</v>
      </c>
      <c r="C42" t="s">
        <v>38</v>
      </c>
    </row>
    <row r="65" spans="2:2" x14ac:dyDescent="0.2">
      <c r="B65">
        <f>SUM(B43:B64)</f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6907A-EDA9-944A-B04B-C9D795BEFB51}">
  <dimension ref="A2:F65"/>
  <sheetViews>
    <sheetView zoomScaleNormal="100" zoomScaleSheetLayoutView="100" workbookViewId="0">
      <selection activeCell="E32" sqref="E32"/>
    </sheetView>
  </sheetViews>
  <sheetFormatPr defaultRowHeight="15" x14ac:dyDescent="0.2"/>
  <sheetData>
    <row r="2" spans="1:6" x14ac:dyDescent="0.2">
      <c r="D2" s="4">
        <v>45231</v>
      </c>
    </row>
    <row r="3" spans="1:6" x14ac:dyDescent="0.2">
      <c r="B3" t="s">
        <v>8</v>
      </c>
      <c r="C3" t="s">
        <v>10</v>
      </c>
    </row>
    <row r="4" spans="1:6" x14ac:dyDescent="0.2">
      <c r="A4">
        <v>1</v>
      </c>
      <c r="B4">
        <v>366</v>
      </c>
      <c r="C4" s="2">
        <v>1422.26</v>
      </c>
      <c r="D4" t="s">
        <v>77</v>
      </c>
      <c r="E4" t="s">
        <v>1</v>
      </c>
    </row>
    <row r="5" spans="1:6" x14ac:dyDescent="0.2">
      <c r="A5">
        <v>2</v>
      </c>
      <c r="B5">
        <v>0</v>
      </c>
      <c r="C5" s="2">
        <v>806.85</v>
      </c>
      <c r="D5" t="s">
        <v>78</v>
      </c>
      <c r="E5" s="1" t="s">
        <v>0</v>
      </c>
    </row>
    <row r="6" spans="1:6" x14ac:dyDescent="0.2">
      <c r="A6">
        <v>3</v>
      </c>
      <c r="B6">
        <v>0</v>
      </c>
      <c r="C6" s="2">
        <v>88.14</v>
      </c>
      <c r="D6" t="s">
        <v>79</v>
      </c>
      <c r="E6" t="s">
        <v>2</v>
      </c>
    </row>
    <row r="7" spans="1:6" x14ac:dyDescent="0.2">
      <c r="A7">
        <v>4</v>
      </c>
      <c r="B7">
        <v>631</v>
      </c>
      <c r="C7" s="2">
        <v>20</v>
      </c>
      <c r="F7">
        <f>SUM(F4:F6)</f>
        <v>0</v>
      </c>
    </row>
    <row r="8" spans="1:6" x14ac:dyDescent="0.2">
      <c r="A8">
        <v>5</v>
      </c>
      <c r="B8">
        <v>613</v>
      </c>
      <c r="C8" s="2">
        <v>92.89</v>
      </c>
      <c r="D8" t="s">
        <v>80</v>
      </c>
    </row>
    <row r="9" spans="1:6" x14ac:dyDescent="0.2">
      <c r="A9">
        <v>6</v>
      </c>
      <c r="B9">
        <v>641</v>
      </c>
      <c r="C9" s="2"/>
    </row>
    <row r="10" spans="1:6" x14ac:dyDescent="0.2">
      <c r="A10">
        <v>7</v>
      </c>
      <c r="B10">
        <v>1002</v>
      </c>
      <c r="C10" s="2"/>
    </row>
    <row r="11" spans="1:6" x14ac:dyDescent="0.2">
      <c r="A11">
        <v>8</v>
      </c>
      <c r="B11">
        <v>771</v>
      </c>
      <c r="C11" s="2"/>
    </row>
    <row r="12" spans="1:6" x14ac:dyDescent="0.2">
      <c r="A12">
        <v>9</v>
      </c>
      <c r="B12">
        <v>0</v>
      </c>
      <c r="C12" s="2"/>
    </row>
    <row r="13" spans="1:6" x14ac:dyDescent="0.2">
      <c r="A13">
        <v>10</v>
      </c>
      <c r="B13" s="10">
        <v>804</v>
      </c>
      <c r="C13" s="2"/>
    </row>
    <row r="14" spans="1:6" x14ac:dyDescent="0.2">
      <c r="A14">
        <v>11</v>
      </c>
      <c r="B14">
        <v>1711</v>
      </c>
      <c r="C14" s="2"/>
    </row>
    <row r="15" spans="1:6" x14ac:dyDescent="0.2">
      <c r="A15">
        <v>12</v>
      </c>
      <c r="B15">
        <v>0</v>
      </c>
      <c r="C15" s="2"/>
    </row>
    <row r="16" spans="1:6" x14ac:dyDescent="0.2">
      <c r="A16">
        <v>13</v>
      </c>
      <c r="B16">
        <v>762</v>
      </c>
      <c r="C16" s="2"/>
    </row>
    <row r="17" spans="1:6" x14ac:dyDescent="0.2">
      <c r="A17">
        <v>14</v>
      </c>
      <c r="B17">
        <v>0</v>
      </c>
      <c r="C17" s="2"/>
      <c r="F17" s="3"/>
    </row>
    <row r="18" spans="1:6" x14ac:dyDescent="0.2">
      <c r="A18">
        <v>15</v>
      </c>
      <c r="B18">
        <v>1021</v>
      </c>
      <c r="C18" s="2"/>
    </row>
    <row r="19" spans="1:6" x14ac:dyDescent="0.2">
      <c r="A19">
        <v>16</v>
      </c>
      <c r="B19">
        <v>474</v>
      </c>
    </row>
    <row r="20" spans="1:6" x14ac:dyDescent="0.2">
      <c r="A20">
        <v>17</v>
      </c>
      <c r="B20">
        <v>651</v>
      </c>
    </row>
    <row r="21" spans="1:6" x14ac:dyDescent="0.2">
      <c r="A21">
        <v>18</v>
      </c>
      <c r="B21">
        <v>800</v>
      </c>
    </row>
    <row r="22" spans="1:6" x14ac:dyDescent="0.2">
      <c r="A22">
        <v>19</v>
      </c>
      <c r="B22">
        <v>882</v>
      </c>
    </row>
    <row r="23" spans="1:6" x14ac:dyDescent="0.2">
      <c r="A23">
        <v>20</v>
      </c>
      <c r="B23">
        <v>664</v>
      </c>
    </row>
    <row r="24" spans="1:6" x14ac:dyDescent="0.2">
      <c r="A24">
        <v>21</v>
      </c>
      <c r="B24">
        <v>634</v>
      </c>
    </row>
    <row r="25" spans="1:6" x14ac:dyDescent="0.2">
      <c r="A25">
        <v>22</v>
      </c>
      <c r="B25">
        <v>527</v>
      </c>
    </row>
    <row r="26" spans="1:6" x14ac:dyDescent="0.2">
      <c r="A26">
        <v>23</v>
      </c>
      <c r="B26">
        <v>530</v>
      </c>
    </row>
    <row r="27" spans="1:6" x14ac:dyDescent="0.2">
      <c r="A27">
        <v>24</v>
      </c>
      <c r="B27">
        <v>371</v>
      </c>
    </row>
    <row r="28" spans="1:6" x14ac:dyDescent="0.2">
      <c r="A28">
        <v>25</v>
      </c>
      <c r="B28">
        <v>112</v>
      </c>
    </row>
    <row r="29" spans="1:6" x14ac:dyDescent="0.2">
      <c r="A29">
        <v>26</v>
      </c>
      <c r="B29">
        <v>0</v>
      </c>
    </row>
    <row r="30" spans="1:6" x14ac:dyDescent="0.2">
      <c r="A30">
        <v>27</v>
      </c>
      <c r="B30">
        <v>0</v>
      </c>
    </row>
    <row r="31" spans="1:6" x14ac:dyDescent="0.2">
      <c r="A31">
        <v>28</v>
      </c>
      <c r="B31">
        <v>0</v>
      </c>
    </row>
    <row r="32" spans="1:6" x14ac:dyDescent="0.2">
      <c r="A32">
        <v>29</v>
      </c>
      <c r="B32">
        <v>580</v>
      </c>
    </row>
    <row r="33" spans="1:3" x14ac:dyDescent="0.2">
      <c r="A33">
        <v>30</v>
      </c>
      <c r="B33">
        <v>893</v>
      </c>
    </row>
    <row r="34" spans="1:3" x14ac:dyDescent="0.2">
      <c r="A34" s="11">
        <v>45261</v>
      </c>
      <c r="B34">
        <v>844</v>
      </c>
    </row>
    <row r="35" spans="1:3" x14ac:dyDescent="0.2">
      <c r="A35" t="s">
        <v>9</v>
      </c>
      <c r="B35">
        <f>SUM(B4:B34)</f>
        <v>16284</v>
      </c>
      <c r="C35">
        <f>SUM(C4:C34)</f>
        <v>2430.14</v>
      </c>
    </row>
    <row r="36" spans="1:3" x14ac:dyDescent="0.2">
      <c r="A36" t="s">
        <v>11</v>
      </c>
      <c r="B36">
        <f>B35-C35-B65+F7</f>
        <v>13853.86</v>
      </c>
    </row>
    <row r="40" spans="1:3" x14ac:dyDescent="0.2">
      <c r="A40" t="s">
        <v>50</v>
      </c>
    </row>
    <row r="42" spans="1:3" x14ac:dyDescent="0.2">
      <c r="A42" t="s">
        <v>31</v>
      </c>
      <c r="C42" t="s">
        <v>38</v>
      </c>
    </row>
    <row r="65" spans="2:2" x14ac:dyDescent="0.2">
      <c r="B65">
        <f>SUM(B43:B64)</f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11A3-7C99-E94D-A5C8-AC6E4756A542}">
  <dimension ref="A2:F65"/>
  <sheetViews>
    <sheetView zoomScaleNormal="100" zoomScaleSheetLayoutView="100" workbookViewId="0">
      <selection activeCell="G32" sqref="G32"/>
    </sheetView>
  </sheetViews>
  <sheetFormatPr defaultRowHeight="15" x14ac:dyDescent="0.2"/>
  <sheetData>
    <row r="2" spans="1:6" x14ac:dyDescent="0.2">
      <c r="D2" s="4">
        <v>45200</v>
      </c>
    </row>
    <row r="3" spans="1:6" x14ac:dyDescent="0.2">
      <c r="B3" t="s">
        <v>8</v>
      </c>
      <c r="C3" t="s">
        <v>10</v>
      </c>
    </row>
    <row r="4" spans="1:6" x14ac:dyDescent="0.2">
      <c r="A4">
        <v>1</v>
      </c>
      <c r="B4">
        <v>664</v>
      </c>
      <c r="C4" s="2">
        <v>2326</v>
      </c>
      <c r="D4" t="s">
        <v>77</v>
      </c>
      <c r="E4" t="s">
        <v>1</v>
      </c>
    </row>
    <row r="5" spans="1:6" x14ac:dyDescent="0.2">
      <c r="A5">
        <v>2</v>
      </c>
      <c r="B5">
        <v>502</v>
      </c>
      <c r="C5" s="2">
        <v>351</v>
      </c>
      <c r="D5" t="s">
        <v>78</v>
      </c>
      <c r="E5" s="1" t="s">
        <v>0</v>
      </c>
    </row>
    <row r="6" spans="1:6" x14ac:dyDescent="0.2">
      <c r="A6">
        <v>3</v>
      </c>
      <c r="B6">
        <v>452</v>
      </c>
      <c r="C6" s="2"/>
      <c r="E6" t="s">
        <v>2</v>
      </c>
    </row>
    <row r="7" spans="1:6" x14ac:dyDescent="0.2">
      <c r="A7">
        <v>4</v>
      </c>
      <c r="B7">
        <v>294</v>
      </c>
      <c r="C7" s="2"/>
      <c r="F7">
        <f>SUM(F4:F6)</f>
        <v>0</v>
      </c>
    </row>
    <row r="8" spans="1:6" x14ac:dyDescent="0.2">
      <c r="A8">
        <v>5</v>
      </c>
      <c r="B8">
        <v>0</v>
      </c>
      <c r="C8" s="2"/>
    </row>
    <row r="9" spans="1:6" x14ac:dyDescent="0.2">
      <c r="A9">
        <v>6</v>
      </c>
      <c r="B9">
        <v>910</v>
      </c>
      <c r="C9" s="2">
        <v>88.04</v>
      </c>
      <c r="D9" t="s">
        <v>28</v>
      </c>
    </row>
    <row r="10" spans="1:6" x14ac:dyDescent="0.2">
      <c r="A10">
        <v>7</v>
      </c>
      <c r="B10">
        <v>1155</v>
      </c>
      <c r="C10" s="2"/>
    </row>
    <row r="11" spans="1:6" x14ac:dyDescent="0.2">
      <c r="A11">
        <v>8</v>
      </c>
      <c r="B11">
        <v>0</v>
      </c>
      <c r="C11" s="2"/>
    </row>
    <row r="12" spans="1:6" x14ac:dyDescent="0.2">
      <c r="A12">
        <v>9</v>
      </c>
      <c r="B12">
        <v>487</v>
      </c>
      <c r="C12" s="2"/>
    </row>
    <row r="13" spans="1:6" x14ac:dyDescent="0.2">
      <c r="A13">
        <v>10</v>
      </c>
      <c r="B13">
        <v>629</v>
      </c>
      <c r="C13" s="2"/>
    </row>
    <row r="14" spans="1:6" x14ac:dyDescent="0.2">
      <c r="A14">
        <v>11</v>
      </c>
      <c r="B14">
        <v>620</v>
      </c>
      <c r="C14" s="2"/>
    </row>
    <row r="15" spans="1:6" x14ac:dyDescent="0.2">
      <c r="A15">
        <v>12</v>
      </c>
      <c r="B15">
        <v>546</v>
      </c>
      <c r="C15" s="2"/>
    </row>
    <row r="16" spans="1:6" x14ac:dyDescent="0.2">
      <c r="A16">
        <v>13</v>
      </c>
      <c r="B16">
        <v>505</v>
      </c>
      <c r="C16" s="2"/>
    </row>
    <row r="17" spans="1:6" x14ac:dyDescent="0.2">
      <c r="A17">
        <v>14</v>
      </c>
      <c r="B17">
        <v>766</v>
      </c>
      <c r="C17" s="2"/>
      <c r="F17" s="3"/>
    </row>
    <row r="18" spans="1:6" x14ac:dyDescent="0.2">
      <c r="A18">
        <v>15</v>
      </c>
      <c r="B18">
        <v>824</v>
      </c>
      <c r="C18" s="2"/>
    </row>
    <row r="19" spans="1:6" x14ac:dyDescent="0.2">
      <c r="A19">
        <v>16</v>
      </c>
      <c r="B19">
        <v>710</v>
      </c>
    </row>
    <row r="20" spans="1:6" x14ac:dyDescent="0.2">
      <c r="A20">
        <v>17</v>
      </c>
      <c r="B20">
        <v>232</v>
      </c>
    </row>
    <row r="21" spans="1:6" x14ac:dyDescent="0.2">
      <c r="A21">
        <v>18</v>
      </c>
      <c r="B21">
        <v>371</v>
      </c>
    </row>
    <row r="22" spans="1:6" x14ac:dyDescent="0.2">
      <c r="A22">
        <v>19</v>
      </c>
      <c r="B22">
        <v>162</v>
      </c>
    </row>
    <row r="23" spans="1:6" x14ac:dyDescent="0.2">
      <c r="A23">
        <v>20</v>
      </c>
      <c r="B23">
        <v>78</v>
      </c>
    </row>
    <row r="24" spans="1:6" x14ac:dyDescent="0.2">
      <c r="A24">
        <v>21</v>
      </c>
      <c r="B24">
        <v>1051</v>
      </c>
    </row>
    <row r="25" spans="1:6" x14ac:dyDescent="0.2">
      <c r="A25">
        <v>22</v>
      </c>
      <c r="B25">
        <v>590</v>
      </c>
    </row>
    <row r="26" spans="1:6" x14ac:dyDescent="0.2">
      <c r="A26">
        <v>23</v>
      </c>
      <c r="B26">
        <v>390</v>
      </c>
    </row>
    <row r="27" spans="1:6" x14ac:dyDescent="0.2">
      <c r="A27">
        <v>24</v>
      </c>
      <c r="B27">
        <v>0</v>
      </c>
    </row>
    <row r="28" spans="1:6" x14ac:dyDescent="0.2">
      <c r="A28">
        <v>25</v>
      </c>
      <c r="B28">
        <v>386</v>
      </c>
    </row>
    <row r="29" spans="1:6" x14ac:dyDescent="0.2">
      <c r="A29">
        <v>26</v>
      </c>
      <c r="B29">
        <v>226</v>
      </c>
    </row>
    <row r="30" spans="1:6" x14ac:dyDescent="0.2">
      <c r="A30">
        <v>27</v>
      </c>
      <c r="B30">
        <v>0</v>
      </c>
    </row>
    <row r="31" spans="1:6" x14ac:dyDescent="0.2">
      <c r="A31">
        <v>28</v>
      </c>
      <c r="B31">
        <v>0</v>
      </c>
    </row>
    <row r="32" spans="1:6" x14ac:dyDescent="0.2">
      <c r="A32">
        <v>29</v>
      </c>
      <c r="B32">
        <v>0</v>
      </c>
    </row>
    <row r="33" spans="1:3" x14ac:dyDescent="0.2">
      <c r="A33">
        <v>30</v>
      </c>
      <c r="B33">
        <v>0</v>
      </c>
    </row>
    <row r="34" spans="1:3" x14ac:dyDescent="0.2">
      <c r="A34">
        <v>31</v>
      </c>
      <c r="B34">
        <v>0</v>
      </c>
    </row>
    <row r="35" spans="1:3" x14ac:dyDescent="0.2">
      <c r="A35" t="s">
        <v>9</v>
      </c>
      <c r="B35">
        <f>SUM(B4:B34)</f>
        <v>12550</v>
      </c>
      <c r="C35">
        <f>SUM(C4:C34)</f>
        <v>2765.04</v>
      </c>
    </row>
    <row r="36" spans="1:3" x14ac:dyDescent="0.2">
      <c r="A36" t="s">
        <v>11</v>
      </c>
      <c r="B36">
        <f>B35-C35-B65+F7</f>
        <v>9252.9599999999991</v>
      </c>
    </row>
    <row r="40" spans="1:3" x14ac:dyDescent="0.2">
      <c r="A40" t="s">
        <v>50</v>
      </c>
    </row>
    <row r="42" spans="1:3" x14ac:dyDescent="0.2">
      <c r="A42" t="s">
        <v>31</v>
      </c>
      <c r="C42" t="s">
        <v>38</v>
      </c>
    </row>
    <row r="43" spans="1:3" x14ac:dyDescent="0.2">
      <c r="B43">
        <v>532</v>
      </c>
      <c r="C43">
        <v>266</v>
      </c>
    </row>
    <row r="65" spans="2:2" x14ac:dyDescent="0.2">
      <c r="B65">
        <f>SUM(B43:B64)</f>
        <v>532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32078-3FE8-DE47-9F03-28FD34E38993}">
  <dimension ref="A2:F65"/>
  <sheetViews>
    <sheetView zoomScaleNormal="100" zoomScaleSheetLayoutView="100" workbookViewId="0">
      <selection activeCell="F4" sqref="F4"/>
    </sheetView>
  </sheetViews>
  <sheetFormatPr defaultRowHeight="15" x14ac:dyDescent="0.2"/>
  <cols>
    <col min="3" max="3" width="9.28125" customWidth="1"/>
    <col min="4" max="4" width="10.35546875" customWidth="1"/>
  </cols>
  <sheetData>
    <row r="2" spans="1:6" x14ac:dyDescent="0.2">
      <c r="D2" s="4">
        <v>45170</v>
      </c>
    </row>
    <row r="3" spans="1:6" x14ac:dyDescent="0.2">
      <c r="B3" t="s">
        <v>8</v>
      </c>
      <c r="C3" t="s">
        <v>10</v>
      </c>
    </row>
    <row r="4" spans="1:6" x14ac:dyDescent="0.2">
      <c r="A4">
        <v>1</v>
      </c>
      <c r="B4">
        <v>394</v>
      </c>
      <c r="C4" s="2">
        <v>607.87</v>
      </c>
      <c r="D4" t="s">
        <v>75</v>
      </c>
      <c r="E4" t="s">
        <v>1</v>
      </c>
    </row>
    <row r="5" spans="1:6" x14ac:dyDescent="0.2">
      <c r="A5">
        <v>2</v>
      </c>
      <c r="B5">
        <v>0</v>
      </c>
      <c r="C5" s="2">
        <v>1318.07</v>
      </c>
      <c r="D5" t="s">
        <v>76</v>
      </c>
      <c r="E5" s="1" t="s">
        <v>0</v>
      </c>
    </row>
    <row r="6" spans="1:6" x14ac:dyDescent="0.2">
      <c r="A6">
        <v>3</v>
      </c>
      <c r="B6">
        <v>0</v>
      </c>
      <c r="C6" s="2">
        <v>90.56</v>
      </c>
      <c r="D6" t="s">
        <v>28</v>
      </c>
      <c r="E6" t="s">
        <v>2</v>
      </c>
    </row>
    <row r="7" spans="1:6" x14ac:dyDescent="0.2">
      <c r="A7">
        <v>4</v>
      </c>
      <c r="B7">
        <v>126</v>
      </c>
      <c r="C7" s="2">
        <v>32.619999999999997</v>
      </c>
      <c r="D7" t="s">
        <v>76</v>
      </c>
      <c r="F7">
        <f>SUM(F4:F6)</f>
        <v>0</v>
      </c>
    </row>
    <row r="8" spans="1:6" x14ac:dyDescent="0.2">
      <c r="A8">
        <v>5</v>
      </c>
      <c r="B8">
        <v>372</v>
      </c>
      <c r="C8" s="2">
        <v>23</v>
      </c>
    </row>
    <row r="9" spans="1:6" x14ac:dyDescent="0.2">
      <c r="A9">
        <v>6</v>
      </c>
      <c r="B9">
        <v>409</v>
      </c>
      <c r="C9" s="2">
        <v>11.75</v>
      </c>
    </row>
    <row r="10" spans="1:6" x14ac:dyDescent="0.2">
      <c r="A10">
        <v>7</v>
      </c>
      <c r="B10">
        <v>808</v>
      </c>
      <c r="C10" s="2">
        <v>22</v>
      </c>
    </row>
    <row r="11" spans="1:6" x14ac:dyDescent="0.2">
      <c r="A11">
        <v>8</v>
      </c>
      <c r="B11">
        <v>0</v>
      </c>
      <c r="C11" s="2">
        <v>99.75</v>
      </c>
    </row>
    <row r="12" spans="1:6" x14ac:dyDescent="0.2">
      <c r="A12">
        <v>9</v>
      </c>
      <c r="B12">
        <v>362</v>
      </c>
      <c r="C12" s="2"/>
    </row>
    <row r="13" spans="1:6" x14ac:dyDescent="0.2">
      <c r="A13">
        <v>10</v>
      </c>
      <c r="B13">
        <v>1038</v>
      </c>
      <c r="C13" s="2"/>
    </row>
    <row r="14" spans="1:6" x14ac:dyDescent="0.2">
      <c r="A14">
        <v>11</v>
      </c>
      <c r="B14">
        <v>644</v>
      </c>
      <c r="C14" s="2"/>
    </row>
    <row r="15" spans="1:6" x14ac:dyDescent="0.2">
      <c r="A15">
        <v>12</v>
      </c>
      <c r="B15">
        <v>394</v>
      </c>
      <c r="C15" s="2"/>
    </row>
    <row r="16" spans="1:6" x14ac:dyDescent="0.2">
      <c r="A16">
        <v>13</v>
      </c>
      <c r="B16">
        <v>0</v>
      </c>
      <c r="C16" s="2"/>
    </row>
    <row r="17" spans="1:6" x14ac:dyDescent="0.2">
      <c r="A17">
        <v>14</v>
      </c>
      <c r="B17">
        <v>68</v>
      </c>
      <c r="C17" s="2"/>
      <c r="F17" s="3"/>
    </row>
    <row r="18" spans="1:6" x14ac:dyDescent="0.2">
      <c r="A18">
        <v>15</v>
      </c>
      <c r="B18">
        <v>474</v>
      </c>
      <c r="C18" s="2"/>
    </row>
    <row r="19" spans="1:6" x14ac:dyDescent="0.2">
      <c r="A19">
        <v>16</v>
      </c>
      <c r="B19">
        <v>984</v>
      </c>
    </row>
    <row r="20" spans="1:6" x14ac:dyDescent="0.2">
      <c r="A20">
        <v>17</v>
      </c>
      <c r="B20">
        <v>950</v>
      </c>
    </row>
    <row r="21" spans="1:6" x14ac:dyDescent="0.2">
      <c r="A21">
        <v>18</v>
      </c>
      <c r="B21">
        <v>596</v>
      </c>
    </row>
    <row r="22" spans="1:6" x14ac:dyDescent="0.2">
      <c r="A22">
        <v>19</v>
      </c>
      <c r="B22">
        <v>461</v>
      </c>
    </row>
    <row r="23" spans="1:6" x14ac:dyDescent="0.2">
      <c r="A23">
        <v>20</v>
      </c>
      <c r="B23">
        <v>311</v>
      </c>
    </row>
    <row r="24" spans="1:6" x14ac:dyDescent="0.2">
      <c r="A24">
        <v>21</v>
      </c>
      <c r="B24">
        <v>394</v>
      </c>
    </row>
    <row r="25" spans="1:6" x14ac:dyDescent="0.2">
      <c r="A25">
        <v>22</v>
      </c>
      <c r="B25">
        <v>869</v>
      </c>
    </row>
    <row r="26" spans="1:6" x14ac:dyDescent="0.2">
      <c r="A26">
        <v>23</v>
      </c>
      <c r="B26">
        <v>1307</v>
      </c>
    </row>
    <row r="27" spans="1:6" x14ac:dyDescent="0.2">
      <c r="A27">
        <v>24</v>
      </c>
      <c r="B27">
        <v>742</v>
      </c>
    </row>
    <row r="28" spans="1:6" x14ac:dyDescent="0.2">
      <c r="A28">
        <v>25</v>
      </c>
      <c r="B28">
        <v>721</v>
      </c>
    </row>
    <row r="29" spans="1:6" x14ac:dyDescent="0.2">
      <c r="A29">
        <v>26</v>
      </c>
      <c r="B29">
        <v>542</v>
      </c>
    </row>
    <row r="30" spans="1:6" x14ac:dyDescent="0.2">
      <c r="A30">
        <v>27</v>
      </c>
      <c r="B30">
        <v>0</v>
      </c>
    </row>
    <row r="31" spans="1:6" x14ac:dyDescent="0.2">
      <c r="A31">
        <v>28</v>
      </c>
      <c r="B31">
        <v>317</v>
      </c>
    </row>
    <row r="32" spans="1:6" x14ac:dyDescent="0.2">
      <c r="A32">
        <v>29</v>
      </c>
      <c r="B32">
        <v>531</v>
      </c>
    </row>
    <row r="33" spans="1:3" x14ac:dyDescent="0.2">
      <c r="A33">
        <v>30</v>
      </c>
      <c r="B33">
        <v>998</v>
      </c>
    </row>
    <row r="35" spans="1:3" x14ac:dyDescent="0.2">
      <c r="A35" t="s">
        <v>9</v>
      </c>
      <c r="B35">
        <f>SUM(B4:B34)</f>
        <v>14812</v>
      </c>
      <c r="C35">
        <f>SUM(C4:C34)</f>
        <v>2205.62</v>
      </c>
    </row>
    <row r="36" spans="1:3" x14ac:dyDescent="0.2">
      <c r="A36" t="s">
        <v>11</v>
      </c>
      <c r="B36">
        <f>B35-C35-B65+F7</f>
        <v>12606.380000000001</v>
      </c>
    </row>
    <row r="40" spans="1:3" x14ac:dyDescent="0.2">
      <c r="A40" t="s">
        <v>50</v>
      </c>
    </row>
    <row r="42" spans="1:3" x14ac:dyDescent="0.2">
      <c r="A42" t="s">
        <v>31</v>
      </c>
      <c r="C42" t="s">
        <v>38</v>
      </c>
    </row>
    <row r="65" spans="2:2" x14ac:dyDescent="0.2">
      <c r="B65">
        <f>SUM(B43:B64)</f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11B2-351D-FD4D-B4FB-969DA4314173}">
  <dimension ref="A2:F65"/>
  <sheetViews>
    <sheetView topLeftCell="A36" zoomScaleNormal="100" zoomScaleSheetLayoutView="100" workbookViewId="0">
      <selection activeCell="B4" sqref="B4:B11"/>
    </sheetView>
  </sheetViews>
  <sheetFormatPr defaultRowHeight="15" x14ac:dyDescent="0.2"/>
  <sheetData>
    <row r="2" spans="1:6" x14ac:dyDescent="0.2">
      <c r="D2" s="4">
        <v>45139</v>
      </c>
    </row>
    <row r="3" spans="1:6" x14ac:dyDescent="0.2">
      <c r="B3" t="s">
        <v>8</v>
      </c>
      <c r="C3" t="s">
        <v>10</v>
      </c>
    </row>
    <row r="4" spans="1:6" x14ac:dyDescent="0.2">
      <c r="A4">
        <v>1</v>
      </c>
      <c r="B4">
        <v>392</v>
      </c>
      <c r="C4" s="2">
        <v>42.07</v>
      </c>
      <c r="D4" t="s">
        <v>59</v>
      </c>
      <c r="E4" t="s">
        <v>1</v>
      </c>
    </row>
    <row r="5" spans="1:6" x14ac:dyDescent="0.2">
      <c r="A5">
        <v>2</v>
      </c>
      <c r="B5">
        <v>219</v>
      </c>
      <c r="C5" s="2">
        <v>1770.06</v>
      </c>
      <c r="D5" t="s">
        <v>60</v>
      </c>
      <c r="E5" s="1" t="s">
        <v>0</v>
      </c>
    </row>
    <row r="6" spans="1:6" x14ac:dyDescent="0.2">
      <c r="A6">
        <v>3</v>
      </c>
      <c r="B6">
        <v>212</v>
      </c>
      <c r="C6" s="2">
        <v>13</v>
      </c>
      <c r="E6" t="s">
        <v>2</v>
      </c>
    </row>
    <row r="7" spans="1:6" x14ac:dyDescent="0.2">
      <c r="A7">
        <v>4</v>
      </c>
      <c r="B7">
        <v>456</v>
      </c>
      <c r="C7" s="2">
        <v>88.34</v>
      </c>
      <c r="D7" t="s">
        <v>28</v>
      </c>
      <c r="F7">
        <f>SUM(F4:F6)</f>
        <v>0</v>
      </c>
    </row>
    <row r="8" spans="1:6" x14ac:dyDescent="0.2">
      <c r="A8">
        <v>5</v>
      </c>
      <c r="B8">
        <v>1048</v>
      </c>
      <c r="C8" s="2"/>
    </row>
    <row r="9" spans="1:6" x14ac:dyDescent="0.2">
      <c r="A9">
        <v>6</v>
      </c>
      <c r="B9">
        <v>279</v>
      </c>
      <c r="C9" s="2">
        <v>172</v>
      </c>
      <c r="D9" t="s">
        <v>24</v>
      </c>
    </row>
    <row r="10" spans="1:6" x14ac:dyDescent="0.2">
      <c r="A10">
        <v>7</v>
      </c>
      <c r="B10">
        <v>110</v>
      </c>
      <c r="C10" s="2"/>
    </row>
    <row r="11" spans="1:6" x14ac:dyDescent="0.2">
      <c r="A11">
        <v>8</v>
      </c>
      <c r="B11">
        <v>236</v>
      </c>
      <c r="C11" s="2"/>
    </row>
    <row r="12" spans="1:6" x14ac:dyDescent="0.2">
      <c r="A12">
        <v>9</v>
      </c>
      <c r="B12">
        <v>192</v>
      </c>
      <c r="C12" s="2"/>
    </row>
    <row r="13" spans="1:6" x14ac:dyDescent="0.2">
      <c r="A13">
        <v>10</v>
      </c>
      <c r="B13">
        <v>365</v>
      </c>
      <c r="C13" s="2"/>
    </row>
    <row r="14" spans="1:6" x14ac:dyDescent="0.2">
      <c r="A14">
        <v>11</v>
      </c>
      <c r="B14">
        <v>397</v>
      </c>
      <c r="C14" s="2"/>
    </row>
    <row r="15" spans="1:6" x14ac:dyDescent="0.2">
      <c r="A15">
        <v>12</v>
      </c>
      <c r="B15">
        <v>568</v>
      </c>
      <c r="C15" s="2"/>
    </row>
    <row r="16" spans="1:6" x14ac:dyDescent="0.2">
      <c r="A16">
        <v>13</v>
      </c>
      <c r="B16">
        <v>84</v>
      </c>
      <c r="C16" s="2"/>
    </row>
    <row r="17" spans="1:6" x14ac:dyDescent="0.2">
      <c r="A17">
        <v>14</v>
      </c>
      <c r="B17">
        <v>282</v>
      </c>
      <c r="C17" s="2"/>
      <c r="F17" s="3"/>
    </row>
    <row r="18" spans="1:6" x14ac:dyDescent="0.2">
      <c r="A18">
        <v>15</v>
      </c>
      <c r="B18">
        <v>269</v>
      </c>
      <c r="C18" s="2"/>
    </row>
    <row r="19" spans="1:6" x14ac:dyDescent="0.2">
      <c r="A19">
        <v>16</v>
      </c>
      <c r="B19">
        <v>219</v>
      </c>
    </row>
    <row r="20" spans="1:6" x14ac:dyDescent="0.2">
      <c r="A20">
        <v>17</v>
      </c>
      <c r="B20">
        <v>263</v>
      </c>
    </row>
    <row r="21" spans="1:6" x14ac:dyDescent="0.2">
      <c r="A21">
        <v>18</v>
      </c>
      <c r="B21">
        <v>104</v>
      </c>
    </row>
    <row r="22" spans="1:6" x14ac:dyDescent="0.2">
      <c r="A22">
        <v>19</v>
      </c>
      <c r="B22">
        <v>252</v>
      </c>
    </row>
    <row r="23" spans="1:6" x14ac:dyDescent="0.2">
      <c r="A23">
        <v>20</v>
      </c>
      <c r="B23">
        <v>260</v>
      </c>
    </row>
    <row r="24" spans="1:6" x14ac:dyDescent="0.2">
      <c r="A24">
        <v>21</v>
      </c>
      <c r="B24">
        <v>255</v>
      </c>
    </row>
    <row r="25" spans="1:6" x14ac:dyDescent="0.2">
      <c r="A25">
        <v>22</v>
      </c>
      <c r="B25">
        <v>0</v>
      </c>
    </row>
    <row r="26" spans="1:6" x14ac:dyDescent="0.2">
      <c r="A26">
        <v>23</v>
      </c>
      <c r="B26">
        <v>405</v>
      </c>
    </row>
    <row r="27" spans="1:6" x14ac:dyDescent="0.2">
      <c r="A27">
        <v>24</v>
      </c>
      <c r="B27">
        <v>209</v>
      </c>
    </row>
    <row r="28" spans="1:6" x14ac:dyDescent="0.2">
      <c r="A28">
        <v>25</v>
      </c>
      <c r="B28">
        <v>271</v>
      </c>
    </row>
    <row r="29" spans="1:6" x14ac:dyDescent="0.2">
      <c r="A29">
        <v>26</v>
      </c>
      <c r="B29">
        <v>380</v>
      </c>
    </row>
    <row r="30" spans="1:6" x14ac:dyDescent="0.2">
      <c r="A30">
        <v>27</v>
      </c>
      <c r="B30">
        <v>419</v>
      </c>
    </row>
    <row r="31" spans="1:6" x14ac:dyDescent="0.2">
      <c r="A31">
        <v>28</v>
      </c>
      <c r="B31">
        <v>394</v>
      </c>
    </row>
    <row r="32" spans="1:6" x14ac:dyDescent="0.2">
      <c r="A32">
        <v>29</v>
      </c>
      <c r="B32">
        <v>454</v>
      </c>
    </row>
    <row r="33" spans="1:3" x14ac:dyDescent="0.2">
      <c r="A33">
        <v>30</v>
      </c>
      <c r="B33">
        <v>368</v>
      </c>
    </row>
    <row r="34" spans="1:3" x14ac:dyDescent="0.2">
      <c r="A34">
        <v>31</v>
      </c>
      <c r="B34">
        <v>377</v>
      </c>
    </row>
    <row r="35" spans="1:3" x14ac:dyDescent="0.2">
      <c r="A35" t="s">
        <v>9</v>
      </c>
      <c r="B35">
        <f>SUM(B4:B34)</f>
        <v>9739</v>
      </c>
      <c r="C35">
        <f>SUM(C4:C34)</f>
        <v>2085.4699999999998</v>
      </c>
    </row>
    <row r="36" spans="1:3" x14ac:dyDescent="0.2">
      <c r="A36" t="s">
        <v>11</v>
      </c>
      <c r="B36">
        <f>B35-C35-B65+F7</f>
        <v>7653.5300000000007</v>
      </c>
    </row>
    <row r="40" spans="1:3" x14ac:dyDescent="0.2">
      <c r="A40" t="s">
        <v>50</v>
      </c>
    </row>
    <row r="42" spans="1:3" x14ac:dyDescent="0.2">
      <c r="A42" t="s">
        <v>31</v>
      </c>
      <c r="C42" t="s">
        <v>38</v>
      </c>
    </row>
    <row r="65" spans="2:2" x14ac:dyDescent="0.2">
      <c r="B65">
        <f>SUM(B43:B64)</f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174C-8E5C-3944-A997-B0A4DF791B1A}">
  <dimension ref="A2:F65"/>
  <sheetViews>
    <sheetView zoomScaleNormal="100" zoomScaleSheetLayoutView="100" workbookViewId="0">
      <selection activeCell="B18" sqref="B18:B34"/>
    </sheetView>
  </sheetViews>
  <sheetFormatPr defaultRowHeight="15" x14ac:dyDescent="0.2"/>
  <sheetData>
    <row r="2" spans="1:6" x14ac:dyDescent="0.2">
      <c r="D2" s="4">
        <v>45108</v>
      </c>
    </row>
    <row r="3" spans="1:6" x14ac:dyDescent="0.2">
      <c r="B3" t="s">
        <v>8</v>
      </c>
      <c r="C3" t="s">
        <v>10</v>
      </c>
    </row>
    <row r="4" spans="1:6" x14ac:dyDescent="0.2">
      <c r="A4">
        <v>1</v>
      </c>
      <c r="B4">
        <v>409</v>
      </c>
      <c r="C4" s="2">
        <v>0</v>
      </c>
      <c r="D4" t="s">
        <v>46</v>
      </c>
      <c r="E4" t="s">
        <v>1</v>
      </c>
      <c r="F4">
        <v>212</v>
      </c>
    </row>
    <row r="5" spans="1:6" x14ac:dyDescent="0.2">
      <c r="A5">
        <v>2</v>
      </c>
      <c r="B5">
        <v>344</v>
      </c>
      <c r="C5" s="2">
        <v>957.16</v>
      </c>
      <c r="D5" t="s">
        <v>47</v>
      </c>
      <c r="E5" s="1" t="s">
        <v>0</v>
      </c>
      <c r="F5">
        <v>86</v>
      </c>
    </row>
    <row r="6" spans="1:6" x14ac:dyDescent="0.2">
      <c r="A6">
        <v>3</v>
      </c>
      <c r="B6">
        <v>194</v>
      </c>
      <c r="C6" s="2"/>
      <c r="D6" t="s">
        <v>21</v>
      </c>
      <c r="E6" t="s">
        <v>2</v>
      </c>
      <c r="F6">
        <v>195</v>
      </c>
    </row>
    <row r="7" spans="1:6" x14ac:dyDescent="0.2">
      <c r="A7">
        <v>4</v>
      </c>
      <c r="B7">
        <v>79</v>
      </c>
      <c r="C7" s="2"/>
      <c r="D7" t="s">
        <v>28</v>
      </c>
      <c r="F7">
        <f>SUM(F4:F6)</f>
        <v>493</v>
      </c>
    </row>
    <row r="8" spans="1:6" x14ac:dyDescent="0.2">
      <c r="A8">
        <v>5</v>
      </c>
      <c r="B8">
        <v>43</v>
      </c>
      <c r="C8" s="2">
        <v>132.83000000000001</v>
      </c>
      <c r="D8" t="s">
        <v>24</v>
      </c>
    </row>
    <row r="9" spans="1:6" x14ac:dyDescent="0.2">
      <c r="A9">
        <v>6</v>
      </c>
      <c r="B9">
        <v>215</v>
      </c>
      <c r="C9" s="2">
        <v>17.350000000000001</v>
      </c>
    </row>
    <row r="10" spans="1:6" x14ac:dyDescent="0.2">
      <c r="A10">
        <v>7</v>
      </c>
      <c r="B10">
        <v>145</v>
      </c>
      <c r="C10" s="2"/>
    </row>
    <row r="11" spans="1:6" x14ac:dyDescent="0.2">
      <c r="A11">
        <v>8</v>
      </c>
      <c r="B11">
        <v>57</v>
      </c>
      <c r="C11" s="2"/>
    </row>
    <row r="12" spans="1:6" x14ac:dyDescent="0.2">
      <c r="A12">
        <v>9</v>
      </c>
      <c r="B12">
        <v>513</v>
      </c>
      <c r="C12" s="2">
        <v>50</v>
      </c>
      <c r="D12" t="s">
        <v>58</v>
      </c>
    </row>
    <row r="13" spans="1:6" x14ac:dyDescent="0.2">
      <c r="A13">
        <v>10</v>
      </c>
      <c r="B13">
        <v>193</v>
      </c>
      <c r="C13" s="2"/>
    </row>
    <row r="14" spans="1:6" x14ac:dyDescent="0.2">
      <c r="A14">
        <v>11</v>
      </c>
      <c r="B14">
        <v>185</v>
      </c>
      <c r="C14" s="2"/>
    </row>
    <row r="15" spans="1:6" x14ac:dyDescent="0.2">
      <c r="A15">
        <v>12</v>
      </c>
      <c r="B15">
        <v>276</v>
      </c>
      <c r="C15" s="2"/>
    </row>
    <row r="16" spans="1:6" x14ac:dyDescent="0.2">
      <c r="A16">
        <v>13</v>
      </c>
      <c r="B16">
        <v>116</v>
      </c>
      <c r="C16" s="2"/>
    </row>
    <row r="17" spans="1:6" x14ac:dyDescent="0.2">
      <c r="A17">
        <v>14</v>
      </c>
      <c r="B17">
        <v>325</v>
      </c>
      <c r="C17" s="2"/>
      <c r="F17" s="3"/>
    </row>
    <row r="18" spans="1:6" x14ac:dyDescent="0.2">
      <c r="A18">
        <v>15</v>
      </c>
      <c r="B18">
        <v>356</v>
      </c>
      <c r="C18" s="2"/>
    </row>
    <row r="19" spans="1:6" x14ac:dyDescent="0.2">
      <c r="A19">
        <v>16</v>
      </c>
      <c r="B19">
        <v>400</v>
      </c>
    </row>
    <row r="20" spans="1:6" x14ac:dyDescent="0.2">
      <c r="A20">
        <v>17</v>
      </c>
      <c r="B20">
        <v>52</v>
      </c>
    </row>
    <row r="21" spans="1:6" x14ac:dyDescent="0.2">
      <c r="A21">
        <v>18</v>
      </c>
      <c r="B21">
        <v>337</v>
      </c>
    </row>
    <row r="22" spans="1:6" x14ac:dyDescent="0.2">
      <c r="A22">
        <v>19</v>
      </c>
      <c r="B22">
        <v>258</v>
      </c>
    </row>
    <row r="23" spans="1:6" x14ac:dyDescent="0.2">
      <c r="A23">
        <v>20</v>
      </c>
      <c r="B23">
        <v>220</v>
      </c>
    </row>
    <row r="24" spans="1:6" x14ac:dyDescent="0.2">
      <c r="A24">
        <v>21</v>
      </c>
      <c r="B24">
        <v>251</v>
      </c>
    </row>
    <row r="25" spans="1:6" x14ac:dyDescent="0.2">
      <c r="A25">
        <v>22</v>
      </c>
      <c r="B25">
        <v>607</v>
      </c>
    </row>
    <row r="26" spans="1:6" x14ac:dyDescent="0.2">
      <c r="A26">
        <v>23</v>
      </c>
      <c r="B26">
        <v>464</v>
      </c>
    </row>
    <row r="27" spans="1:6" x14ac:dyDescent="0.2">
      <c r="A27">
        <v>24</v>
      </c>
      <c r="B27">
        <v>323</v>
      </c>
    </row>
    <row r="28" spans="1:6" x14ac:dyDescent="0.2">
      <c r="A28">
        <v>25</v>
      </c>
      <c r="B28">
        <v>288</v>
      </c>
    </row>
    <row r="29" spans="1:6" x14ac:dyDescent="0.2">
      <c r="A29">
        <v>26</v>
      </c>
      <c r="B29">
        <v>155</v>
      </c>
    </row>
    <row r="30" spans="1:6" x14ac:dyDescent="0.2">
      <c r="A30">
        <v>27</v>
      </c>
      <c r="B30">
        <v>192</v>
      </c>
    </row>
    <row r="31" spans="1:6" x14ac:dyDescent="0.2">
      <c r="A31">
        <v>28</v>
      </c>
      <c r="B31">
        <v>116</v>
      </c>
    </row>
    <row r="32" spans="1:6" x14ac:dyDescent="0.2">
      <c r="A32">
        <v>29</v>
      </c>
      <c r="B32">
        <v>421</v>
      </c>
    </row>
    <row r="33" spans="1:3" x14ac:dyDescent="0.2">
      <c r="A33">
        <v>30</v>
      </c>
      <c r="B33">
        <v>278</v>
      </c>
    </row>
    <row r="34" spans="1:3" x14ac:dyDescent="0.2">
      <c r="A34">
        <v>31</v>
      </c>
      <c r="B34">
        <v>187</v>
      </c>
    </row>
    <row r="35" spans="1:3" x14ac:dyDescent="0.2">
      <c r="A35" t="s">
        <v>9</v>
      </c>
      <c r="B35">
        <f>SUM(B4:B34)</f>
        <v>7999</v>
      </c>
      <c r="C35">
        <f>SUM(C4:C34)</f>
        <v>1157.3399999999999</v>
      </c>
    </row>
    <row r="36" spans="1:3" x14ac:dyDescent="0.2">
      <c r="A36" t="s">
        <v>11</v>
      </c>
      <c r="B36">
        <f>B35-C35-B65</f>
        <v>6741.66</v>
      </c>
    </row>
    <row r="40" spans="1:3" x14ac:dyDescent="0.2">
      <c r="A40" t="s">
        <v>50</v>
      </c>
    </row>
    <row r="42" spans="1:3" x14ac:dyDescent="0.2">
      <c r="A42" t="s">
        <v>31</v>
      </c>
      <c r="C42" t="s">
        <v>38</v>
      </c>
    </row>
    <row r="43" spans="1:3" x14ac:dyDescent="0.2">
      <c r="B43">
        <v>100</v>
      </c>
    </row>
    <row r="65" spans="2:2" x14ac:dyDescent="0.2">
      <c r="B65">
        <f>SUM(B43:B64)</f>
        <v>100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5462-E57C-8C4E-95C9-16F7E84E6650}">
  <dimension ref="A2:F65"/>
  <sheetViews>
    <sheetView zoomScaleNormal="100" zoomScaleSheetLayoutView="100" workbookViewId="0">
      <selection activeCell="D18" sqref="D18"/>
    </sheetView>
  </sheetViews>
  <sheetFormatPr defaultRowHeight="15" x14ac:dyDescent="0.2"/>
  <sheetData>
    <row r="2" spans="1:6" x14ac:dyDescent="0.2">
      <c r="D2" s="4">
        <v>45078</v>
      </c>
    </row>
    <row r="3" spans="1:6" x14ac:dyDescent="0.2">
      <c r="B3" t="s">
        <v>8</v>
      </c>
      <c r="C3" t="s">
        <v>10</v>
      </c>
    </row>
    <row r="4" spans="1:6" x14ac:dyDescent="0.2">
      <c r="A4">
        <v>1</v>
      </c>
      <c r="B4">
        <v>120</v>
      </c>
      <c r="C4" s="2">
        <v>407.4</v>
      </c>
      <c r="D4" t="s">
        <v>46</v>
      </c>
      <c r="E4" t="s">
        <v>1</v>
      </c>
    </row>
    <row r="5" spans="1:6" x14ac:dyDescent="0.2">
      <c r="A5">
        <v>2</v>
      </c>
      <c r="B5">
        <v>115</v>
      </c>
      <c r="C5" s="2">
        <v>1129.02</v>
      </c>
      <c r="D5" t="s">
        <v>47</v>
      </c>
      <c r="E5" s="1" t="s">
        <v>0</v>
      </c>
      <c r="F5">
        <v>50</v>
      </c>
    </row>
    <row r="6" spans="1:6" x14ac:dyDescent="0.2">
      <c r="A6">
        <v>3</v>
      </c>
      <c r="B6">
        <v>555</v>
      </c>
      <c r="C6" s="2"/>
      <c r="D6" t="s">
        <v>21</v>
      </c>
      <c r="E6" t="s">
        <v>2</v>
      </c>
      <c r="F6">
        <v>30</v>
      </c>
    </row>
    <row r="7" spans="1:6" x14ac:dyDescent="0.2">
      <c r="A7">
        <v>4</v>
      </c>
      <c r="B7">
        <v>324</v>
      </c>
      <c r="C7" s="2"/>
      <c r="D7" t="s">
        <v>28</v>
      </c>
      <c r="F7">
        <f>SUM(F4:F6)</f>
        <v>80</v>
      </c>
    </row>
    <row r="8" spans="1:6" x14ac:dyDescent="0.2">
      <c r="A8">
        <v>5</v>
      </c>
      <c r="B8">
        <v>194</v>
      </c>
      <c r="C8" s="2">
        <v>70</v>
      </c>
    </row>
    <row r="9" spans="1:6" x14ac:dyDescent="0.2">
      <c r="A9">
        <v>6</v>
      </c>
      <c r="B9">
        <v>270</v>
      </c>
      <c r="C9" s="2"/>
    </row>
    <row r="10" spans="1:6" x14ac:dyDescent="0.2">
      <c r="A10">
        <v>7</v>
      </c>
      <c r="B10">
        <v>304</v>
      </c>
      <c r="C10" s="2"/>
    </row>
    <row r="11" spans="1:6" x14ac:dyDescent="0.2">
      <c r="A11">
        <v>8</v>
      </c>
      <c r="B11">
        <v>525</v>
      </c>
      <c r="C11" s="2"/>
    </row>
    <row r="12" spans="1:6" x14ac:dyDescent="0.2">
      <c r="A12">
        <v>9</v>
      </c>
      <c r="B12">
        <v>398</v>
      </c>
      <c r="C12" s="2"/>
    </row>
    <row r="13" spans="1:6" x14ac:dyDescent="0.2">
      <c r="A13">
        <v>10</v>
      </c>
      <c r="B13">
        <v>627</v>
      </c>
      <c r="C13" s="2"/>
    </row>
    <row r="14" spans="1:6" x14ac:dyDescent="0.2">
      <c r="A14">
        <v>11</v>
      </c>
      <c r="B14">
        <v>0</v>
      </c>
      <c r="C14" s="2"/>
    </row>
    <row r="15" spans="1:6" x14ac:dyDescent="0.2">
      <c r="A15">
        <v>12</v>
      </c>
      <c r="B15">
        <v>0</v>
      </c>
      <c r="C15" s="2"/>
    </row>
    <row r="16" spans="1:6" x14ac:dyDescent="0.2">
      <c r="A16">
        <v>13</v>
      </c>
      <c r="B16">
        <v>0</v>
      </c>
      <c r="C16" s="2"/>
    </row>
    <row r="17" spans="1:6" x14ac:dyDescent="0.2">
      <c r="A17">
        <v>14</v>
      </c>
      <c r="B17">
        <v>0</v>
      </c>
      <c r="C17" s="2"/>
      <c r="F17" s="3"/>
    </row>
    <row r="18" spans="1:6" x14ac:dyDescent="0.2">
      <c r="A18">
        <v>15</v>
      </c>
      <c r="B18">
        <v>0</v>
      </c>
      <c r="C18" s="2"/>
    </row>
    <row r="19" spans="1:6" x14ac:dyDescent="0.2">
      <c r="A19">
        <v>16</v>
      </c>
      <c r="B19">
        <v>141</v>
      </c>
    </row>
    <row r="20" spans="1:6" x14ac:dyDescent="0.2">
      <c r="A20">
        <v>17</v>
      </c>
      <c r="B20">
        <v>441</v>
      </c>
    </row>
    <row r="21" spans="1:6" x14ac:dyDescent="0.2">
      <c r="A21">
        <v>18</v>
      </c>
      <c r="B21">
        <v>377</v>
      </c>
    </row>
    <row r="22" spans="1:6" x14ac:dyDescent="0.2">
      <c r="A22">
        <v>19</v>
      </c>
      <c r="B22">
        <v>173</v>
      </c>
    </row>
    <row r="23" spans="1:6" x14ac:dyDescent="0.2">
      <c r="A23">
        <v>20</v>
      </c>
      <c r="B23">
        <v>220</v>
      </c>
    </row>
    <row r="24" spans="1:6" x14ac:dyDescent="0.2">
      <c r="A24">
        <v>21</v>
      </c>
      <c r="B24">
        <v>118</v>
      </c>
    </row>
    <row r="25" spans="1:6" x14ac:dyDescent="0.2">
      <c r="A25">
        <v>22</v>
      </c>
      <c r="B25">
        <v>0</v>
      </c>
    </row>
    <row r="26" spans="1:6" x14ac:dyDescent="0.2">
      <c r="A26">
        <v>23</v>
      </c>
      <c r="B26">
        <v>0</v>
      </c>
    </row>
    <row r="27" spans="1:6" x14ac:dyDescent="0.2">
      <c r="A27">
        <v>24</v>
      </c>
      <c r="B27">
        <v>461</v>
      </c>
    </row>
    <row r="28" spans="1:6" x14ac:dyDescent="0.2">
      <c r="A28">
        <v>25</v>
      </c>
      <c r="B28">
        <v>255</v>
      </c>
    </row>
    <row r="29" spans="1:6" x14ac:dyDescent="0.2">
      <c r="A29">
        <v>26</v>
      </c>
      <c r="B29">
        <v>157</v>
      </c>
    </row>
    <row r="30" spans="1:6" x14ac:dyDescent="0.2">
      <c r="A30">
        <v>27</v>
      </c>
      <c r="B30">
        <v>259</v>
      </c>
    </row>
    <row r="31" spans="1:6" x14ac:dyDescent="0.2">
      <c r="A31">
        <v>28</v>
      </c>
      <c r="B31">
        <v>100</v>
      </c>
    </row>
    <row r="32" spans="1:6" x14ac:dyDescent="0.2">
      <c r="A32">
        <v>29</v>
      </c>
      <c r="B32">
        <v>0</v>
      </c>
    </row>
    <row r="33" spans="1:3" x14ac:dyDescent="0.2">
      <c r="A33">
        <v>30</v>
      </c>
      <c r="B33">
        <v>0</v>
      </c>
    </row>
    <row r="34" spans="1:3" x14ac:dyDescent="0.2">
      <c r="A34">
        <v>31</v>
      </c>
      <c r="B34">
        <v>0</v>
      </c>
    </row>
    <row r="35" spans="1:3" x14ac:dyDescent="0.2">
      <c r="A35" t="s">
        <v>9</v>
      </c>
      <c r="B35">
        <f>SUM(B4:B34)</f>
        <v>6134</v>
      </c>
      <c r="C35">
        <f>SUM(C4:C34)</f>
        <v>1606.42</v>
      </c>
    </row>
    <row r="36" spans="1:3" x14ac:dyDescent="0.2">
      <c r="A36" t="s">
        <v>11</v>
      </c>
      <c r="B36">
        <f>B35-C35-B65</f>
        <v>4527.58</v>
      </c>
    </row>
    <row r="40" spans="1:3" x14ac:dyDescent="0.2">
      <c r="A40" t="s">
        <v>50</v>
      </c>
    </row>
    <row r="42" spans="1:3" x14ac:dyDescent="0.2">
      <c r="A42" t="s">
        <v>31</v>
      </c>
      <c r="C42" t="s">
        <v>38</v>
      </c>
    </row>
    <row r="65" spans="2:2" x14ac:dyDescent="0.2">
      <c r="B65">
        <f>SUM(B43:B64)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A2E1-564B-194F-82F0-6F96364C310B}">
  <dimension ref="A3:F66"/>
  <sheetViews>
    <sheetView topLeftCell="B1" zoomScaleNormal="100" zoomScaleSheetLayoutView="100" workbookViewId="0">
      <selection activeCell="F5" sqref="F5"/>
    </sheetView>
  </sheetViews>
  <sheetFormatPr defaultRowHeight="15" x14ac:dyDescent="0.2"/>
  <sheetData>
    <row r="3" spans="1:6" x14ac:dyDescent="0.2">
      <c r="D3" s="4">
        <v>45047</v>
      </c>
    </row>
    <row r="4" spans="1:6" x14ac:dyDescent="0.2">
      <c r="B4" t="s">
        <v>8</v>
      </c>
      <c r="C4" t="s">
        <v>10</v>
      </c>
    </row>
    <row r="5" spans="1:6" x14ac:dyDescent="0.2">
      <c r="A5">
        <v>1</v>
      </c>
      <c r="B5">
        <v>0</v>
      </c>
      <c r="C5" s="2">
        <v>488.2</v>
      </c>
      <c r="D5" t="s">
        <v>46</v>
      </c>
      <c r="E5" t="s">
        <v>1</v>
      </c>
      <c r="F5">
        <v>41</v>
      </c>
    </row>
    <row r="6" spans="1:6" x14ac:dyDescent="0.2">
      <c r="A6">
        <v>2</v>
      </c>
      <c r="B6">
        <v>183</v>
      </c>
      <c r="C6" s="2">
        <v>1085.2</v>
      </c>
      <c r="D6" t="s">
        <v>47</v>
      </c>
      <c r="E6" s="1" t="s">
        <v>0</v>
      </c>
    </row>
    <row r="7" spans="1:6" x14ac:dyDescent="0.2">
      <c r="A7">
        <v>3</v>
      </c>
      <c r="B7">
        <v>0</v>
      </c>
      <c r="C7" s="2"/>
      <c r="D7" t="s">
        <v>21</v>
      </c>
      <c r="E7" t="s">
        <v>2</v>
      </c>
      <c r="F7">
        <v>58</v>
      </c>
    </row>
    <row r="8" spans="1:6" x14ac:dyDescent="0.2">
      <c r="A8">
        <v>4</v>
      </c>
      <c r="B8">
        <v>244</v>
      </c>
      <c r="C8" s="2">
        <v>81.55</v>
      </c>
      <c r="D8" t="s">
        <v>28</v>
      </c>
      <c r="F8">
        <f>SUM(F5:F7)</f>
        <v>99</v>
      </c>
    </row>
    <row r="9" spans="1:6" x14ac:dyDescent="0.2">
      <c r="A9">
        <v>5</v>
      </c>
      <c r="B9">
        <v>388</v>
      </c>
      <c r="C9" s="2">
        <v>44.83</v>
      </c>
    </row>
    <row r="10" spans="1:6" x14ac:dyDescent="0.2">
      <c r="A10">
        <v>6</v>
      </c>
      <c r="B10">
        <v>1200</v>
      </c>
      <c r="C10" s="2"/>
    </row>
    <row r="11" spans="1:6" x14ac:dyDescent="0.2">
      <c r="A11">
        <v>7</v>
      </c>
      <c r="B11">
        <v>666</v>
      </c>
      <c r="C11" s="2"/>
    </row>
    <row r="12" spans="1:6" x14ac:dyDescent="0.2">
      <c r="A12">
        <v>8</v>
      </c>
      <c r="B12">
        <v>223</v>
      </c>
      <c r="C12" s="2"/>
    </row>
    <row r="13" spans="1:6" x14ac:dyDescent="0.2">
      <c r="A13">
        <v>9</v>
      </c>
      <c r="B13">
        <v>230</v>
      </c>
      <c r="C13" s="2"/>
    </row>
    <row r="14" spans="1:6" x14ac:dyDescent="0.2">
      <c r="A14">
        <v>10</v>
      </c>
      <c r="B14">
        <v>209</v>
      </c>
      <c r="C14" s="2"/>
    </row>
    <row r="15" spans="1:6" x14ac:dyDescent="0.2">
      <c r="A15">
        <v>11</v>
      </c>
      <c r="B15">
        <v>141</v>
      </c>
      <c r="C15" s="2"/>
    </row>
    <row r="16" spans="1:6" x14ac:dyDescent="0.2">
      <c r="A16">
        <v>12</v>
      </c>
      <c r="B16">
        <v>184</v>
      </c>
      <c r="C16" s="2"/>
    </row>
    <row r="17" spans="1:6" x14ac:dyDescent="0.2">
      <c r="A17">
        <v>13</v>
      </c>
      <c r="B17">
        <v>829</v>
      </c>
      <c r="C17" s="2"/>
    </row>
    <row r="18" spans="1:6" x14ac:dyDescent="0.2">
      <c r="A18">
        <v>14</v>
      </c>
      <c r="B18">
        <v>177</v>
      </c>
      <c r="C18" s="2"/>
      <c r="F18" s="3"/>
    </row>
    <row r="19" spans="1:6" x14ac:dyDescent="0.2">
      <c r="A19">
        <v>15</v>
      </c>
      <c r="B19">
        <v>234</v>
      </c>
      <c r="C19" s="2"/>
    </row>
    <row r="20" spans="1:6" x14ac:dyDescent="0.2">
      <c r="A20">
        <v>16</v>
      </c>
      <c r="B20">
        <v>186</v>
      </c>
    </row>
    <row r="21" spans="1:6" x14ac:dyDescent="0.2">
      <c r="A21">
        <v>17</v>
      </c>
      <c r="B21">
        <v>155</v>
      </c>
    </row>
    <row r="22" spans="1:6" x14ac:dyDescent="0.2">
      <c r="A22">
        <v>18</v>
      </c>
      <c r="B22">
        <v>197</v>
      </c>
    </row>
    <row r="23" spans="1:6" x14ac:dyDescent="0.2">
      <c r="A23">
        <v>19</v>
      </c>
      <c r="B23">
        <v>234</v>
      </c>
    </row>
    <row r="24" spans="1:6" x14ac:dyDescent="0.2">
      <c r="A24">
        <v>20</v>
      </c>
      <c r="B24">
        <v>420</v>
      </c>
    </row>
    <row r="25" spans="1:6" x14ac:dyDescent="0.2">
      <c r="A25">
        <v>21</v>
      </c>
      <c r="B25">
        <v>394</v>
      </c>
    </row>
    <row r="26" spans="1:6" x14ac:dyDescent="0.2">
      <c r="A26">
        <v>22</v>
      </c>
      <c r="B26">
        <v>107</v>
      </c>
    </row>
    <row r="27" spans="1:6" x14ac:dyDescent="0.2">
      <c r="A27">
        <v>23</v>
      </c>
      <c r="B27">
        <v>171</v>
      </c>
    </row>
    <row r="28" spans="1:6" x14ac:dyDescent="0.2">
      <c r="A28">
        <v>24</v>
      </c>
      <c r="B28">
        <v>101</v>
      </c>
    </row>
    <row r="29" spans="1:6" x14ac:dyDescent="0.2">
      <c r="A29">
        <v>25</v>
      </c>
      <c r="B29">
        <v>150</v>
      </c>
    </row>
    <row r="30" spans="1:6" x14ac:dyDescent="0.2">
      <c r="A30">
        <v>26</v>
      </c>
      <c r="B30">
        <v>223</v>
      </c>
    </row>
    <row r="31" spans="1:6" x14ac:dyDescent="0.2">
      <c r="A31">
        <v>28</v>
      </c>
      <c r="B31">
        <v>0</v>
      </c>
    </row>
    <row r="32" spans="1:6" x14ac:dyDescent="0.2">
      <c r="A32">
        <v>29</v>
      </c>
      <c r="B32">
        <v>154</v>
      </c>
    </row>
    <row r="33" spans="1:3" x14ac:dyDescent="0.2">
      <c r="A33">
        <v>30</v>
      </c>
      <c r="B33">
        <v>26</v>
      </c>
    </row>
    <row r="34" spans="1:3" x14ac:dyDescent="0.2">
      <c r="A34">
        <v>31</v>
      </c>
      <c r="B34">
        <v>108</v>
      </c>
    </row>
    <row r="36" spans="1:3" x14ac:dyDescent="0.2">
      <c r="A36" t="s">
        <v>9</v>
      </c>
      <c r="B36">
        <f>SUM(B5:B35)</f>
        <v>7534</v>
      </c>
      <c r="C36">
        <f>SUM(C5:C35)</f>
        <v>1699.78</v>
      </c>
    </row>
    <row r="37" spans="1:3" x14ac:dyDescent="0.2">
      <c r="A37" t="s">
        <v>11</v>
      </c>
      <c r="B37">
        <f>B36-C36-B66</f>
        <v>5834.22</v>
      </c>
    </row>
    <row r="41" spans="1:3" x14ac:dyDescent="0.2">
      <c r="A41" t="s">
        <v>50</v>
      </c>
    </row>
    <row r="43" spans="1:3" x14ac:dyDescent="0.2">
      <c r="A43" t="s">
        <v>31</v>
      </c>
      <c r="C43" t="s">
        <v>38</v>
      </c>
    </row>
    <row r="66" spans="2:2" x14ac:dyDescent="0.2">
      <c r="B66">
        <f>SUM(B44:B65)</f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558C-9ADF-C848-85C9-9D0C859D4381}">
  <dimension ref="A3:H66"/>
  <sheetViews>
    <sheetView zoomScaleNormal="100" zoomScaleSheetLayoutView="100" workbookViewId="0">
      <selection activeCell="F29" sqref="F29"/>
    </sheetView>
  </sheetViews>
  <sheetFormatPr defaultRowHeight="15" x14ac:dyDescent="0.2"/>
  <cols>
    <col min="4" max="4" width="9.4140625" customWidth="1"/>
  </cols>
  <sheetData>
    <row r="3" spans="1:8" x14ac:dyDescent="0.2">
      <c r="D3" s="4">
        <v>45017</v>
      </c>
      <c r="H3" t="s">
        <v>20</v>
      </c>
    </row>
    <row r="4" spans="1:8" x14ac:dyDescent="0.2">
      <c r="B4" t="s">
        <v>8</v>
      </c>
      <c r="C4" t="s">
        <v>10</v>
      </c>
    </row>
    <row r="5" spans="1:8" x14ac:dyDescent="0.2">
      <c r="A5">
        <v>1</v>
      </c>
      <c r="B5">
        <v>735</v>
      </c>
      <c r="C5" s="2">
        <v>603</v>
      </c>
      <c r="D5" t="s">
        <v>46</v>
      </c>
      <c r="E5" t="s">
        <v>1</v>
      </c>
      <c r="F5">
        <v>378</v>
      </c>
    </row>
    <row r="6" spans="1:8" x14ac:dyDescent="0.2">
      <c r="A6" t="s">
        <v>55</v>
      </c>
      <c r="B6">
        <v>535</v>
      </c>
      <c r="C6" s="2">
        <v>1000</v>
      </c>
      <c r="D6" t="s">
        <v>47</v>
      </c>
      <c r="E6" s="1" t="s">
        <v>0</v>
      </c>
      <c r="F6">
        <v>64.5</v>
      </c>
    </row>
    <row r="7" spans="1:8" x14ac:dyDescent="0.2">
      <c r="A7">
        <v>3</v>
      </c>
      <c r="B7">
        <v>411</v>
      </c>
      <c r="C7" s="2">
        <v>428</v>
      </c>
      <c r="D7" t="s">
        <v>48</v>
      </c>
      <c r="E7" t="s">
        <v>2</v>
      </c>
      <c r="F7">
        <v>93</v>
      </c>
    </row>
    <row r="8" spans="1:8" x14ac:dyDescent="0.2">
      <c r="A8">
        <v>4</v>
      </c>
      <c r="B8">
        <v>126</v>
      </c>
      <c r="C8" s="2">
        <v>49</v>
      </c>
      <c r="D8" t="s">
        <v>54</v>
      </c>
      <c r="F8">
        <f>SUM(F5:F7)</f>
        <v>535.5</v>
      </c>
    </row>
    <row r="9" spans="1:8" x14ac:dyDescent="0.2">
      <c r="A9">
        <v>5</v>
      </c>
      <c r="B9">
        <v>198</v>
      </c>
      <c r="C9" s="2"/>
    </row>
    <row r="10" spans="1:8" x14ac:dyDescent="0.2">
      <c r="A10">
        <v>6</v>
      </c>
      <c r="B10">
        <v>0</v>
      </c>
      <c r="C10" s="2"/>
      <c r="D10" t="s">
        <v>21</v>
      </c>
    </row>
    <row r="11" spans="1:8" x14ac:dyDescent="0.2">
      <c r="A11">
        <v>7</v>
      </c>
      <c r="B11">
        <v>787</v>
      </c>
      <c r="C11" s="2"/>
    </row>
    <row r="12" spans="1:8" x14ac:dyDescent="0.2">
      <c r="A12">
        <v>8</v>
      </c>
      <c r="B12">
        <v>953</v>
      </c>
      <c r="C12" s="2"/>
    </row>
    <row r="13" spans="1:8" x14ac:dyDescent="0.2">
      <c r="A13" t="s">
        <v>56</v>
      </c>
      <c r="B13">
        <v>271</v>
      </c>
      <c r="C13" s="2"/>
    </row>
    <row r="14" spans="1:8" x14ac:dyDescent="0.2">
      <c r="A14">
        <v>10</v>
      </c>
      <c r="B14">
        <v>359</v>
      </c>
      <c r="C14" s="2"/>
    </row>
    <row r="15" spans="1:8" x14ac:dyDescent="0.2">
      <c r="A15">
        <v>11</v>
      </c>
      <c r="B15">
        <v>377</v>
      </c>
      <c r="C15" s="2"/>
    </row>
    <row r="16" spans="1:8" x14ac:dyDescent="0.2">
      <c r="A16">
        <v>12</v>
      </c>
      <c r="B16">
        <v>195</v>
      </c>
      <c r="C16" s="2"/>
    </row>
    <row r="17" spans="1:7" x14ac:dyDescent="0.2">
      <c r="A17">
        <v>13</v>
      </c>
      <c r="B17">
        <v>200</v>
      </c>
      <c r="C17" s="2"/>
    </row>
    <row r="18" spans="1:7" x14ac:dyDescent="0.2">
      <c r="A18">
        <v>14</v>
      </c>
      <c r="B18">
        <v>149</v>
      </c>
      <c r="C18" s="2"/>
      <c r="F18" s="3"/>
    </row>
    <row r="19" spans="1:7" x14ac:dyDescent="0.2">
      <c r="A19">
        <v>15</v>
      </c>
      <c r="B19">
        <v>552</v>
      </c>
      <c r="C19" s="2"/>
    </row>
    <row r="20" spans="1:7" x14ac:dyDescent="0.2">
      <c r="A20" t="s">
        <v>57</v>
      </c>
      <c r="B20">
        <v>408</v>
      </c>
    </row>
    <row r="21" spans="1:7" x14ac:dyDescent="0.2">
      <c r="A21">
        <v>17</v>
      </c>
      <c r="B21">
        <v>75</v>
      </c>
      <c r="E21" t="s">
        <v>1</v>
      </c>
      <c r="F21" t="s">
        <v>0</v>
      </c>
      <c r="G21" t="s">
        <v>2</v>
      </c>
    </row>
    <row r="22" spans="1:7" x14ac:dyDescent="0.2">
      <c r="A22">
        <v>18</v>
      </c>
      <c r="B22">
        <v>269</v>
      </c>
      <c r="E22">
        <v>3035</v>
      </c>
    </row>
    <row r="23" spans="1:7" x14ac:dyDescent="0.2">
      <c r="A23">
        <v>19</v>
      </c>
      <c r="B23">
        <v>166</v>
      </c>
    </row>
    <row r="24" spans="1:7" x14ac:dyDescent="0.2">
      <c r="A24">
        <v>20</v>
      </c>
      <c r="B24">
        <v>210</v>
      </c>
    </row>
    <row r="25" spans="1:7" x14ac:dyDescent="0.2">
      <c r="A25">
        <v>21</v>
      </c>
      <c r="B25">
        <v>357</v>
      </c>
    </row>
    <row r="26" spans="1:7" x14ac:dyDescent="0.2">
      <c r="A26">
        <v>22</v>
      </c>
      <c r="B26">
        <v>392</v>
      </c>
    </row>
    <row r="27" spans="1:7" x14ac:dyDescent="0.2">
      <c r="A27">
        <v>23</v>
      </c>
      <c r="B27">
        <v>490</v>
      </c>
    </row>
    <row r="28" spans="1:7" x14ac:dyDescent="0.2">
      <c r="A28">
        <v>24</v>
      </c>
      <c r="B28">
        <v>400</v>
      </c>
    </row>
    <row r="29" spans="1:7" x14ac:dyDescent="0.2">
      <c r="A29">
        <v>25</v>
      </c>
      <c r="B29">
        <v>129</v>
      </c>
    </row>
    <row r="30" spans="1:7" x14ac:dyDescent="0.2">
      <c r="A30">
        <v>26</v>
      </c>
      <c r="B30">
        <v>207</v>
      </c>
    </row>
    <row r="31" spans="1:7" x14ac:dyDescent="0.2">
      <c r="A31">
        <v>27</v>
      </c>
      <c r="B31">
        <v>158</v>
      </c>
    </row>
    <row r="32" spans="1:7" x14ac:dyDescent="0.2">
      <c r="A32">
        <v>28</v>
      </c>
      <c r="B32">
        <v>145</v>
      </c>
    </row>
    <row r="33" spans="1:8" x14ac:dyDescent="0.2">
      <c r="A33">
        <v>29</v>
      </c>
      <c r="B33">
        <v>535</v>
      </c>
    </row>
    <row r="34" spans="1:8" x14ac:dyDescent="0.2">
      <c r="A34">
        <v>30</v>
      </c>
      <c r="B34">
        <v>0</v>
      </c>
    </row>
    <row r="36" spans="1:8" x14ac:dyDescent="0.2">
      <c r="A36" t="s">
        <v>9</v>
      </c>
      <c r="B36">
        <f>SUM(B5:B35)</f>
        <v>9789</v>
      </c>
      <c r="C36">
        <f>SUM(C5:C35)</f>
        <v>2080</v>
      </c>
    </row>
    <row r="37" spans="1:8" x14ac:dyDescent="0.2">
      <c r="A37" t="s">
        <v>11</v>
      </c>
      <c r="B37">
        <f>B36-C36-B66</f>
        <v>6479</v>
      </c>
    </row>
    <row r="38" spans="1:8" x14ac:dyDescent="0.2">
      <c r="B38">
        <v>6420</v>
      </c>
      <c r="H38">
        <f>SUM(H4:H37)</f>
        <v>0</v>
      </c>
    </row>
    <row r="40" spans="1:8" x14ac:dyDescent="0.2">
      <c r="H40">
        <f>'Novembro 22'!D19+B38</f>
        <v>6420</v>
      </c>
    </row>
    <row r="41" spans="1:8" x14ac:dyDescent="0.2">
      <c r="A41" t="s">
        <v>50</v>
      </c>
    </row>
    <row r="43" spans="1:8" x14ac:dyDescent="0.2">
      <c r="A43" t="s">
        <v>31</v>
      </c>
      <c r="C43" t="s">
        <v>38</v>
      </c>
    </row>
    <row r="44" spans="1:8" x14ac:dyDescent="0.2">
      <c r="B44">
        <v>485</v>
      </c>
      <c r="C44">
        <v>267</v>
      </c>
    </row>
    <row r="45" spans="1:8" x14ac:dyDescent="0.2">
      <c r="B45">
        <v>437</v>
      </c>
    </row>
    <row r="46" spans="1:8" x14ac:dyDescent="0.2">
      <c r="B46">
        <v>308</v>
      </c>
    </row>
    <row r="66" spans="2:2" x14ac:dyDescent="0.2">
      <c r="B66">
        <f>SUM(B44:B65)</f>
        <v>1230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BEC6-59FB-F041-B828-5109D4C20D5E}">
  <dimension ref="A3:H66"/>
  <sheetViews>
    <sheetView zoomScaleNormal="100" zoomScaleSheetLayoutView="100" workbookViewId="0">
      <selection activeCell="B23" sqref="B23:B35"/>
    </sheetView>
  </sheetViews>
  <sheetFormatPr defaultRowHeight="15" x14ac:dyDescent="0.2"/>
  <cols>
    <col min="1" max="1" width="9.953125" customWidth="1"/>
    <col min="4" max="4" width="9.28125" customWidth="1"/>
  </cols>
  <sheetData>
    <row r="3" spans="1:8" x14ac:dyDescent="0.2">
      <c r="D3" t="s">
        <v>45</v>
      </c>
      <c r="H3" t="s">
        <v>20</v>
      </c>
    </row>
    <row r="4" spans="1:8" x14ac:dyDescent="0.2">
      <c r="B4" t="s">
        <v>8</v>
      </c>
      <c r="C4" t="s">
        <v>10</v>
      </c>
    </row>
    <row r="5" spans="1:8" x14ac:dyDescent="0.2">
      <c r="A5">
        <v>1</v>
      </c>
      <c r="B5">
        <v>379</v>
      </c>
      <c r="C5" s="2">
        <v>926.55</v>
      </c>
      <c r="D5" t="s">
        <v>46</v>
      </c>
      <c r="E5" t="s">
        <v>1</v>
      </c>
      <c r="F5">
        <v>205</v>
      </c>
    </row>
    <row r="6" spans="1:8" x14ac:dyDescent="0.2">
      <c r="A6">
        <v>2</v>
      </c>
      <c r="B6">
        <v>285</v>
      </c>
      <c r="C6" s="2">
        <v>688.35</v>
      </c>
      <c r="D6" t="s">
        <v>47</v>
      </c>
      <c r="E6" s="1" t="s">
        <v>0</v>
      </c>
      <c r="F6">
        <v>72</v>
      </c>
    </row>
    <row r="7" spans="1:8" x14ac:dyDescent="0.2">
      <c r="A7">
        <v>3</v>
      </c>
      <c r="B7">
        <v>265</v>
      </c>
      <c r="C7" s="2">
        <v>370.58</v>
      </c>
      <c r="D7" t="s">
        <v>48</v>
      </c>
      <c r="E7" t="s">
        <v>2</v>
      </c>
      <c r="F7">
        <v>139</v>
      </c>
    </row>
    <row r="8" spans="1:8" x14ac:dyDescent="0.2">
      <c r="A8">
        <v>4</v>
      </c>
      <c r="B8">
        <v>1040</v>
      </c>
      <c r="C8" s="2">
        <v>86</v>
      </c>
      <c r="D8" t="s">
        <v>28</v>
      </c>
      <c r="F8">
        <f>SUM(F5:F7)</f>
        <v>416</v>
      </c>
    </row>
    <row r="9" spans="1:8" x14ac:dyDescent="0.2">
      <c r="A9" t="s">
        <v>42</v>
      </c>
      <c r="B9">
        <v>788</v>
      </c>
      <c r="C9" s="2">
        <v>10</v>
      </c>
      <c r="D9" t="s">
        <v>52</v>
      </c>
    </row>
    <row r="10" spans="1:8" x14ac:dyDescent="0.2">
      <c r="A10">
        <v>6</v>
      </c>
      <c r="B10">
        <v>511</v>
      </c>
      <c r="C10" s="2">
        <v>84</v>
      </c>
    </row>
    <row r="11" spans="1:8" x14ac:dyDescent="0.2">
      <c r="A11">
        <v>7</v>
      </c>
      <c r="B11">
        <v>512</v>
      </c>
      <c r="C11" s="2"/>
    </row>
    <row r="12" spans="1:8" x14ac:dyDescent="0.2">
      <c r="A12">
        <v>8</v>
      </c>
      <c r="B12">
        <v>428</v>
      </c>
      <c r="C12" s="2">
        <v>1</v>
      </c>
      <c r="D12" t="s">
        <v>21</v>
      </c>
    </row>
    <row r="13" spans="1:8" x14ac:dyDescent="0.2">
      <c r="A13">
        <v>9</v>
      </c>
      <c r="B13">
        <v>4</v>
      </c>
      <c r="C13" s="2"/>
    </row>
    <row r="14" spans="1:8" x14ac:dyDescent="0.2">
      <c r="A14">
        <v>10</v>
      </c>
      <c r="B14">
        <v>421</v>
      </c>
      <c r="C14" s="2">
        <v>335.88</v>
      </c>
    </row>
    <row r="15" spans="1:8" x14ac:dyDescent="0.2">
      <c r="A15">
        <v>11</v>
      </c>
      <c r="B15">
        <v>561</v>
      </c>
      <c r="C15" s="2"/>
    </row>
    <row r="16" spans="1:8" x14ac:dyDescent="0.2">
      <c r="A16">
        <v>12</v>
      </c>
      <c r="B16">
        <v>681</v>
      </c>
      <c r="C16" s="2"/>
    </row>
    <row r="17" spans="1:7" x14ac:dyDescent="0.2">
      <c r="A17">
        <v>13</v>
      </c>
      <c r="B17">
        <v>172</v>
      </c>
      <c r="C17" s="2"/>
    </row>
    <row r="18" spans="1:7" x14ac:dyDescent="0.2">
      <c r="A18">
        <v>14</v>
      </c>
      <c r="B18">
        <v>185</v>
      </c>
      <c r="C18" s="2"/>
      <c r="F18" s="3"/>
    </row>
    <row r="19" spans="1:7" x14ac:dyDescent="0.2">
      <c r="A19">
        <v>15</v>
      </c>
      <c r="B19">
        <v>442</v>
      </c>
      <c r="C19" s="2"/>
    </row>
    <row r="20" spans="1:7" x14ac:dyDescent="0.2">
      <c r="A20">
        <v>16</v>
      </c>
      <c r="B20">
        <v>332</v>
      </c>
    </row>
    <row r="21" spans="1:7" x14ac:dyDescent="0.2">
      <c r="A21">
        <v>17</v>
      </c>
      <c r="B21">
        <v>401</v>
      </c>
      <c r="E21" t="s">
        <v>1</v>
      </c>
      <c r="F21" t="s">
        <v>0</v>
      </c>
      <c r="G21" t="s">
        <v>2</v>
      </c>
    </row>
    <row r="22" spans="1:7" x14ac:dyDescent="0.2">
      <c r="A22">
        <v>18</v>
      </c>
      <c r="B22">
        <v>1041</v>
      </c>
    </row>
    <row r="23" spans="1:7" x14ac:dyDescent="0.2">
      <c r="A23" t="s">
        <v>44</v>
      </c>
      <c r="B23">
        <v>37</v>
      </c>
    </row>
    <row r="24" spans="1:7" x14ac:dyDescent="0.2">
      <c r="A24">
        <v>20</v>
      </c>
      <c r="B24">
        <v>277</v>
      </c>
    </row>
    <row r="25" spans="1:7" x14ac:dyDescent="0.2">
      <c r="A25">
        <v>21</v>
      </c>
      <c r="B25">
        <v>288</v>
      </c>
    </row>
    <row r="26" spans="1:7" x14ac:dyDescent="0.2">
      <c r="A26">
        <v>22</v>
      </c>
      <c r="B26">
        <v>310</v>
      </c>
    </row>
    <row r="27" spans="1:7" x14ac:dyDescent="0.2">
      <c r="A27">
        <v>23</v>
      </c>
      <c r="B27">
        <v>267</v>
      </c>
    </row>
    <row r="28" spans="1:7" x14ac:dyDescent="0.2">
      <c r="A28">
        <v>24</v>
      </c>
      <c r="B28">
        <v>268</v>
      </c>
    </row>
    <row r="29" spans="1:7" x14ac:dyDescent="0.2">
      <c r="A29">
        <v>25</v>
      </c>
      <c r="B29">
        <v>709</v>
      </c>
    </row>
    <row r="30" spans="1:7" x14ac:dyDescent="0.2">
      <c r="A30" t="s">
        <v>51</v>
      </c>
      <c r="B30">
        <v>619</v>
      </c>
    </row>
    <row r="31" spans="1:7" x14ac:dyDescent="0.2">
      <c r="A31">
        <v>27</v>
      </c>
      <c r="B31">
        <v>431</v>
      </c>
    </row>
    <row r="32" spans="1:7" x14ac:dyDescent="0.2">
      <c r="A32">
        <v>28</v>
      </c>
      <c r="B32">
        <v>431</v>
      </c>
    </row>
    <row r="33" spans="1:8" x14ac:dyDescent="0.2">
      <c r="A33">
        <v>29</v>
      </c>
      <c r="B33">
        <v>71</v>
      </c>
    </row>
    <row r="34" spans="1:8" x14ac:dyDescent="0.2">
      <c r="A34" t="s">
        <v>53</v>
      </c>
      <c r="B34">
        <v>308</v>
      </c>
    </row>
    <row r="35" spans="1:8" x14ac:dyDescent="0.2">
      <c r="A35">
        <v>31</v>
      </c>
      <c r="B35">
        <v>416</v>
      </c>
    </row>
    <row r="36" spans="1:8" x14ac:dyDescent="0.2">
      <c r="A36" t="s">
        <v>9</v>
      </c>
      <c r="B36">
        <f>SUM(B5:B35)</f>
        <v>12880</v>
      </c>
      <c r="C36">
        <f>SUM(C5:C35)</f>
        <v>2502.36</v>
      </c>
    </row>
    <row r="37" spans="1:8" x14ac:dyDescent="0.2">
      <c r="A37" t="s">
        <v>11</v>
      </c>
      <c r="B37">
        <f>B36-C36-B66</f>
        <v>8375.64</v>
      </c>
    </row>
    <row r="38" spans="1:8" x14ac:dyDescent="0.2">
      <c r="H38">
        <f>SUM(H4:H37)</f>
        <v>0</v>
      </c>
    </row>
    <row r="40" spans="1:8" x14ac:dyDescent="0.2">
      <c r="H40">
        <f>'Novembro 22'!D19+B38</f>
        <v>0</v>
      </c>
    </row>
    <row r="41" spans="1:8" x14ac:dyDescent="0.2">
      <c r="A41" t="s">
        <v>50</v>
      </c>
    </row>
    <row r="43" spans="1:8" x14ac:dyDescent="0.2">
      <c r="A43" t="s">
        <v>31</v>
      </c>
      <c r="C43" t="s">
        <v>38</v>
      </c>
    </row>
    <row r="44" spans="1:8" x14ac:dyDescent="0.2">
      <c r="B44">
        <v>788</v>
      </c>
      <c r="C44">
        <v>354</v>
      </c>
    </row>
    <row r="45" spans="1:8" x14ac:dyDescent="0.2">
      <c r="B45">
        <v>340</v>
      </c>
    </row>
    <row r="46" spans="1:8" x14ac:dyDescent="0.2">
      <c r="B46">
        <v>37</v>
      </c>
    </row>
    <row r="47" spans="1:8" x14ac:dyDescent="0.2">
      <c r="B47">
        <v>619</v>
      </c>
    </row>
    <row r="48" spans="1:8" x14ac:dyDescent="0.2">
      <c r="B48">
        <v>218</v>
      </c>
    </row>
    <row r="66" spans="2:3" x14ac:dyDescent="0.2">
      <c r="B66">
        <f>SUM(B44:B65)</f>
        <v>2002</v>
      </c>
      <c r="C66">
        <f>SUM(C44:C63)</f>
        <v>354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EF96-9FFC-C044-9B78-42FBF51E8308}">
  <dimension ref="A3:H66"/>
  <sheetViews>
    <sheetView zoomScaleNormal="100" zoomScaleSheetLayoutView="100" workbookViewId="0">
      <selection activeCell="B26" sqref="B26:B32"/>
    </sheetView>
  </sheetViews>
  <sheetFormatPr defaultRowHeight="15" x14ac:dyDescent="0.2"/>
  <sheetData>
    <row r="3" spans="1:8" x14ac:dyDescent="0.2">
      <c r="D3" t="s">
        <v>41</v>
      </c>
      <c r="H3" t="s">
        <v>20</v>
      </c>
    </row>
    <row r="4" spans="1:8" x14ac:dyDescent="0.2">
      <c r="B4" t="s">
        <v>8</v>
      </c>
      <c r="C4" t="s">
        <v>10</v>
      </c>
    </row>
    <row r="5" spans="1:8" x14ac:dyDescent="0.2">
      <c r="A5">
        <v>1</v>
      </c>
      <c r="B5">
        <v>467</v>
      </c>
      <c r="C5" s="2">
        <v>23</v>
      </c>
      <c r="E5" t="s">
        <v>1</v>
      </c>
      <c r="G5" t="s">
        <v>49</v>
      </c>
    </row>
    <row r="6" spans="1:8" x14ac:dyDescent="0.2">
      <c r="A6">
        <v>2</v>
      </c>
      <c r="B6">
        <v>312</v>
      </c>
      <c r="C6" s="2">
        <v>100</v>
      </c>
      <c r="E6" s="1" t="s">
        <v>0</v>
      </c>
      <c r="F6">
        <v>0</v>
      </c>
      <c r="G6">
        <v>3110</v>
      </c>
    </row>
    <row r="7" spans="1:8" x14ac:dyDescent="0.2">
      <c r="A7">
        <v>3</v>
      </c>
      <c r="B7">
        <v>178</v>
      </c>
      <c r="C7" s="2">
        <v>283</v>
      </c>
      <c r="E7" t="s">
        <v>2</v>
      </c>
    </row>
    <row r="8" spans="1:8" x14ac:dyDescent="0.2">
      <c r="A8">
        <v>4</v>
      </c>
      <c r="B8">
        <v>1196</v>
      </c>
      <c r="C8" s="2">
        <v>75</v>
      </c>
      <c r="D8" t="s">
        <v>28</v>
      </c>
      <c r="F8">
        <f>SUM(F5:F7)</f>
        <v>0</v>
      </c>
    </row>
    <row r="9" spans="1:8" x14ac:dyDescent="0.2">
      <c r="A9" t="s">
        <v>42</v>
      </c>
      <c r="B9">
        <v>1119</v>
      </c>
      <c r="C9" s="2"/>
    </row>
    <row r="10" spans="1:8" x14ac:dyDescent="0.2">
      <c r="A10">
        <v>6</v>
      </c>
      <c r="B10">
        <v>781</v>
      </c>
      <c r="C10" s="2"/>
    </row>
    <row r="11" spans="1:8" x14ac:dyDescent="0.2">
      <c r="A11">
        <v>7</v>
      </c>
      <c r="B11">
        <v>0</v>
      </c>
      <c r="C11" s="2"/>
    </row>
    <row r="12" spans="1:8" x14ac:dyDescent="0.2">
      <c r="A12">
        <v>8</v>
      </c>
      <c r="B12">
        <v>701</v>
      </c>
      <c r="C12" s="2"/>
    </row>
    <row r="13" spans="1:8" x14ac:dyDescent="0.2">
      <c r="A13">
        <v>9</v>
      </c>
      <c r="B13">
        <v>639</v>
      </c>
      <c r="C13" s="2"/>
    </row>
    <row r="14" spans="1:8" x14ac:dyDescent="0.2">
      <c r="A14">
        <v>10</v>
      </c>
      <c r="B14">
        <v>105</v>
      </c>
      <c r="C14" s="2"/>
    </row>
    <row r="15" spans="1:8" x14ac:dyDescent="0.2">
      <c r="A15">
        <v>11</v>
      </c>
      <c r="B15">
        <v>546</v>
      </c>
      <c r="C15" s="2"/>
    </row>
    <row r="16" spans="1:8" x14ac:dyDescent="0.2">
      <c r="A16" t="s">
        <v>43</v>
      </c>
      <c r="B16">
        <v>810</v>
      </c>
      <c r="C16" s="2"/>
    </row>
    <row r="17" spans="1:7" x14ac:dyDescent="0.2">
      <c r="A17">
        <v>13</v>
      </c>
      <c r="B17">
        <v>330</v>
      </c>
      <c r="C17" s="2"/>
    </row>
    <row r="18" spans="1:7" x14ac:dyDescent="0.2">
      <c r="A18">
        <v>14</v>
      </c>
      <c r="B18">
        <v>20</v>
      </c>
      <c r="C18" s="2"/>
      <c r="F18" s="3"/>
    </row>
    <row r="19" spans="1:7" x14ac:dyDescent="0.2">
      <c r="A19">
        <v>15</v>
      </c>
      <c r="B19">
        <v>386</v>
      </c>
      <c r="C19" s="2"/>
    </row>
    <row r="20" spans="1:7" x14ac:dyDescent="0.2">
      <c r="A20">
        <v>16</v>
      </c>
      <c r="B20">
        <v>185</v>
      </c>
    </row>
    <row r="21" spans="1:7" x14ac:dyDescent="0.2">
      <c r="A21">
        <v>17</v>
      </c>
      <c r="B21">
        <v>262</v>
      </c>
      <c r="E21" t="s">
        <v>1</v>
      </c>
      <c r="F21" t="s">
        <v>0</v>
      </c>
      <c r="G21" t="s">
        <v>2</v>
      </c>
    </row>
    <row r="22" spans="1:7" x14ac:dyDescent="0.2">
      <c r="A22">
        <v>18</v>
      </c>
      <c r="B22">
        <v>712</v>
      </c>
    </row>
    <row r="23" spans="1:7" x14ac:dyDescent="0.2">
      <c r="A23" t="s">
        <v>44</v>
      </c>
      <c r="B23">
        <v>364</v>
      </c>
    </row>
    <row r="24" spans="1:7" x14ac:dyDescent="0.2">
      <c r="A24">
        <v>20</v>
      </c>
      <c r="B24">
        <v>0</v>
      </c>
    </row>
    <row r="25" spans="1:7" x14ac:dyDescent="0.2">
      <c r="A25">
        <v>21</v>
      </c>
      <c r="B25">
        <v>462</v>
      </c>
    </row>
    <row r="26" spans="1:7" x14ac:dyDescent="0.2">
      <c r="A26">
        <v>22</v>
      </c>
      <c r="B26">
        <v>250</v>
      </c>
    </row>
    <row r="27" spans="1:7" x14ac:dyDescent="0.2">
      <c r="A27">
        <v>23</v>
      </c>
      <c r="B27">
        <v>5</v>
      </c>
    </row>
    <row r="28" spans="1:7" x14ac:dyDescent="0.2">
      <c r="A28">
        <v>24</v>
      </c>
      <c r="B28">
        <v>255</v>
      </c>
    </row>
    <row r="29" spans="1:7" x14ac:dyDescent="0.2">
      <c r="A29">
        <v>25</v>
      </c>
      <c r="B29">
        <v>688</v>
      </c>
    </row>
    <row r="30" spans="1:7" x14ac:dyDescent="0.2">
      <c r="A30">
        <v>26</v>
      </c>
      <c r="B30">
        <v>0</v>
      </c>
    </row>
    <row r="31" spans="1:7" x14ac:dyDescent="0.2">
      <c r="A31">
        <v>27</v>
      </c>
      <c r="B31">
        <v>237</v>
      </c>
    </row>
    <row r="32" spans="1:7" x14ac:dyDescent="0.2">
      <c r="A32">
        <v>28</v>
      </c>
      <c r="B32">
        <v>52</v>
      </c>
    </row>
    <row r="36" spans="1:8" x14ac:dyDescent="0.2">
      <c r="A36" t="s">
        <v>9</v>
      </c>
      <c r="B36">
        <f>SUM(B5:B35)</f>
        <v>11062</v>
      </c>
      <c r="C36">
        <f>SUM(C5:C35)</f>
        <v>481</v>
      </c>
    </row>
    <row r="37" spans="1:8" x14ac:dyDescent="0.2">
      <c r="A37" t="s">
        <v>11</v>
      </c>
      <c r="B37">
        <f>B36-C36-B66</f>
        <v>8502</v>
      </c>
    </row>
    <row r="38" spans="1:8" x14ac:dyDescent="0.2">
      <c r="H38">
        <f>SUM(H4:H37)</f>
        <v>0</v>
      </c>
    </row>
    <row r="40" spans="1:8" x14ac:dyDescent="0.2">
      <c r="E40" t="s">
        <v>15</v>
      </c>
      <c r="H40">
        <f>'Novembro 22'!D19+B38</f>
        <v>0</v>
      </c>
    </row>
    <row r="41" spans="1:8" x14ac:dyDescent="0.2">
      <c r="A41" t="s">
        <v>17</v>
      </c>
      <c r="C41">
        <v>706.5</v>
      </c>
    </row>
    <row r="43" spans="1:8" x14ac:dyDescent="0.2">
      <c r="A43" t="s">
        <v>31</v>
      </c>
      <c r="C43" t="s">
        <v>38</v>
      </c>
    </row>
    <row r="44" spans="1:8" x14ac:dyDescent="0.2">
      <c r="B44">
        <v>1119</v>
      </c>
      <c r="C44">
        <v>560</v>
      </c>
    </row>
    <row r="45" spans="1:8" x14ac:dyDescent="0.2">
      <c r="B45">
        <v>810</v>
      </c>
      <c r="C45">
        <v>405</v>
      </c>
    </row>
    <row r="46" spans="1:8" x14ac:dyDescent="0.2">
      <c r="B46">
        <v>150</v>
      </c>
    </row>
    <row r="66" spans="2:3" x14ac:dyDescent="0.2">
      <c r="B66">
        <f>SUM(B44:B65)</f>
        <v>2079</v>
      </c>
      <c r="C66">
        <f>SUM(C44:C63)</f>
        <v>965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9571-E1EB-E64E-8C9B-1C165C74F429}">
  <dimension ref="A3:H66"/>
  <sheetViews>
    <sheetView zoomScaleNormal="100" zoomScaleSheetLayoutView="100" workbookViewId="0">
      <selection activeCell="B6" sqref="B6:B12"/>
    </sheetView>
  </sheetViews>
  <sheetFormatPr defaultRowHeight="15" x14ac:dyDescent="0.2"/>
  <cols>
    <col min="1" max="1" width="11.1640625" customWidth="1"/>
    <col min="3" max="3" width="10.4921875" customWidth="1"/>
    <col min="4" max="4" width="14.2578125" customWidth="1"/>
    <col min="6" max="6" width="12.5078125" customWidth="1"/>
  </cols>
  <sheetData>
    <row r="3" spans="1:8" x14ac:dyDescent="0.2">
      <c r="D3" t="s">
        <v>25</v>
      </c>
      <c r="H3" t="s">
        <v>20</v>
      </c>
    </row>
    <row r="4" spans="1:8" x14ac:dyDescent="0.2">
      <c r="B4" t="s">
        <v>8</v>
      </c>
      <c r="C4" t="s">
        <v>10</v>
      </c>
    </row>
    <row r="5" spans="1:8" x14ac:dyDescent="0.2">
      <c r="A5">
        <v>1</v>
      </c>
      <c r="B5">
        <v>0</v>
      </c>
      <c r="C5" s="2">
        <v>8</v>
      </c>
      <c r="D5" t="s">
        <v>26</v>
      </c>
      <c r="E5" t="s">
        <v>1</v>
      </c>
    </row>
    <row r="6" spans="1:8" x14ac:dyDescent="0.2">
      <c r="A6">
        <v>2</v>
      </c>
      <c r="B6">
        <v>942</v>
      </c>
      <c r="C6" s="2">
        <v>145</v>
      </c>
      <c r="D6" t="s">
        <v>27</v>
      </c>
      <c r="E6" s="1" t="s">
        <v>0</v>
      </c>
    </row>
    <row r="7" spans="1:8" x14ac:dyDescent="0.2">
      <c r="A7">
        <v>3</v>
      </c>
      <c r="B7">
        <v>540</v>
      </c>
      <c r="C7" s="2">
        <v>75</v>
      </c>
      <c r="D7" t="s">
        <v>28</v>
      </c>
      <c r="E7" t="s">
        <v>2</v>
      </c>
    </row>
    <row r="8" spans="1:8" x14ac:dyDescent="0.2">
      <c r="A8">
        <v>4</v>
      </c>
      <c r="B8">
        <v>560</v>
      </c>
      <c r="C8" s="2">
        <v>547.72</v>
      </c>
      <c r="D8" t="s">
        <v>32</v>
      </c>
      <c r="F8">
        <f>SUM(F5:F7)</f>
        <v>0</v>
      </c>
    </row>
    <row r="9" spans="1:8" x14ac:dyDescent="0.2">
      <c r="A9">
        <v>5</v>
      </c>
      <c r="B9">
        <v>700</v>
      </c>
      <c r="C9" s="2">
        <v>183</v>
      </c>
      <c r="D9" t="s">
        <v>33</v>
      </c>
    </row>
    <row r="10" spans="1:8" x14ac:dyDescent="0.2">
      <c r="A10">
        <v>6</v>
      </c>
      <c r="B10">
        <v>812</v>
      </c>
      <c r="C10" s="2">
        <v>181.92</v>
      </c>
    </row>
    <row r="11" spans="1:8" x14ac:dyDescent="0.2">
      <c r="A11" t="s">
        <v>29</v>
      </c>
      <c r="B11">
        <v>1227</v>
      </c>
      <c r="C11" s="2">
        <v>157.9</v>
      </c>
    </row>
    <row r="12" spans="1:8" x14ac:dyDescent="0.2">
      <c r="A12" t="s">
        <v>30</v>
      </c>
      <c r="B12">
        <v>887</v>
      </c>
      <c r="C12" s="2">
        <v>38</v>
      </c>
    </row>
    <row r="13" spans="1:8" x14ac:dyDescent="0.2">
      <c r="A13">
        <v>9</v>
      </c>
      <c r="B13">
        <v>616</v>
      </c>
      <c r="C13" s="2">
        <v>311.47000000000003</v>
      </c>
    </row>
    <row r="14" spans="1:8" x14ac:dyDescent="0.2">
      <c r="A14">
        <v>10</v>
      </c>
      <c r="B14">
        <v>504</v>
      </c>
      <c r="C14" s="2">
        <v>18</v>
      </c>
    </row>
    <row r="15" spans="1:8" x14ac:dyDescent="0.2">
      <c r="A15">
        <v>11</v>
      </c>
      <c r="B15">
        <v>887</v>
      </c>
      <c r="C15" s="2">
        <v>315</v>
      </c>
    </row>
    <row r="16" spans="1:8" x14ac:dyDescent="0.2">
      <c r="A16">
        <v>12</v>
      </c>
      <c r="B16">
        <v>319</v>
      </c>
      <c r="C16" s="2">
        <v>28.13</v>
      </c>
      <c r="D16" t="s">
        <v>39</v>
      </c>
    </row>
    <row r="17" spans="1:7" x14ac:dyDescent="0.2">
      <c r="A17">
        <v>13</v>
      </c>
      <c r="B17">
        <v>44</v>
      </c>
      <c r="C17" s="2">
        <v>23</v>
      </c>
    </row>
    <row r="18" spans="1:7" x14ac:dyDescent="0.2">
      <c r="A18">
        <v>14</v>
      </c>
      <c r="B18">
        <v>542</v>
      </c>
      <c r="C18" s="2">
        <v>53.88</v>
      </c>
      <c r="F18" s="3"/>
    </row>
    <row r="19" spans="1:7" x14ac:dyDescent="0.2">
      <c r="A19" t="s">
        <v>34</v>
      </c>
      <c r="B19">
        <v>486</v>
      </c>
      <c r="C19" s="2">
        <v>415.86</v>
      </c>
    </row>
    <row r="20" spans="1:7" x14ac:dyDescent="0.2">
      <c r="A20">
        <v>16</v>
      </c>
      <c r="B20">
        <v>570</v>
      </c>
      <c r="C20">
        <v>191.5</v>
      </c>
    </row>
    <row r="21" spans="1:7" x14ac:dyDescent="0.2">
      <c r="A21">
        <v>17</v>
      </c>
      <c r="B21">
        <v>268</v>
      </c>
      <c r="E21" t="s">
        <v>1</v>
      </c>
      <c r="F21" t="s">
        <v>0</v>
      </c>
      <c r="G21" t="s">
        <v>2</v>
      </c>
    </row>
    <row r="22" spans="1:7" x14ac:dyDescent="0.2">
      <c r="A22">
        <v>18</v>
      </c>
      <c r="B22">
        <v>408</v>
      </c>
    </row>
    <row r="23" spans="1:7" x14ac:dyDescent="0.2">
      <c r="A23">
        <v>19</v>
      </c>
      <c r="B23">
        <v>549</v>
      </c>
      <c r="C23">
        <v>100</v>
      </c>
      <c r="D23" t="s">
        <v>35</v>
      </c>
    </row>
    <row r="24" spans="1:7" x14ac:dyDescent="0.2">
      <c r="A24">
        <v>20</v>
      </c>
      <c r="B24">
        <v>708</v>
      </c>
    </row>
    <row r="25" spans="1:7" x14ac:dyDescent="0.2">
      <c r="A25" t="s">
        <v>36</v>
      </c>
      <c r="B25">
        <v>723</v>
      </c>
    </row>
    <row r="26" spans="1:7" x14ac:dyDescent="0.2">
      <c r="A26" t="s">
        <v>37</v>
      </c>
      <c r="B26">
        <v>870</v>
      </c>
    </row>
    <row r="27" spans="1:7" x14ac:dyDescent="0.2">
      <c r="A27">
        <v>23</v>
      </c>
      <c r="B27">
        <v>703</v>
      </c>
    </row>
    <row r="28" spans="1:7" x14ac:dyDescent="0.2">
      <c r="A28">
        <v>24</v>
      </c>
      <c r="B28">
        <v>376</v>
      </c>
    </row>
    <row r="29" spans="1:7" x14ac:dyDescent="0.2">
      <c r="A29">
        <v>25</v>
      </c>
      <c r="B29">
        <v>512</v>
      </c>
    </row>
    <row r="30" spans="1:7" x14ac:dyDescent="0.2">
      <c r="A30">
        <v>26</v>
      </c>
      <c r="B30">
        <v>482</v>
      </c>
    </row>
    <row r="31" spans="1:7" x14ac:dyDescent="0.2">
      <c r="A31">
        <v>27</v>
      </c>
      <c r="B31">
        <v>573</v>
      </c>
    </row>
    <row r="32" spans="1:7" x14ac:dyDescent="0.2">
      <c r="A32">
        <v>28</v>
      </c>
      <c r="B32">
        <v>900</v>
      </c>
    </row>
    <row r="33" spans="1:8" x14ac:dyDescent="0.2">
      <c r="A33" t="s">
        <v>40</v>
      </c>
      <c r="B33">
        <v>427</v>
      </c>
    </row>
    <row r="34" spans="1:8" x14ac:dyDescent="0.2">
      <c r="A34">
        <v>30</v>
      </c>
      <c r="B34">
        <v>160</v>
      </c>
    </row>
    <row r="35" spans="1:8" x14ac:dyDescent="0.2">
      <c r="A35">
        <v>31</v>
      </c>
      <c r="B35">
        <v>60</v>
      </c>
    </row>
    <row r="36" spans="1:8" x14ac:dyDescent="0.2">
      <c r="A36" t="s">
        <v>9</v>
      </c>
      <c r="B36">
        <f>SUM(B5:B35)</f>
        <v>17355</v>
      </c>
      <c r="C36">
        <f>SUM(C5:C35)</f>
        <v>2793.3800000000006</v>
      </c>
    </row>
    <row r="37" spans="1:8" x14ac:dyDescent="0.2">
      <c r="A37" t="s">
        <v>11</v>
      </c>
      <c r="B37">
        <f>B36-C36-B66</f>
        <v>11076.619999999999</v>
      </c>
    </row>
    <row r="38" spans="1:8" x14ac:dyDescent="0.2">
      <c r="H38">
        <f>SUM(H4:H37)</f>
        <v>0</v>
      </c>
    </row>
    <row r="40" spans="1:8" x14ac:dyDescent="0.2">
      <c r="E40" t="s">
        <v>15</v>
      </c>
      <c r="H40">
        <f>'Novembro 22'!D19+B38</f>
        <v>0</v>
      </c>
    </row>
    <row r="41" spans="1:8" x14ac:dyDescent="0.2">
      <c r="A41" t="s">
        <v>17</v>
      </c>
      <c r="C41">
        <v>600</v>
      </c>
    </row>
    <row r="43" spans="1:8" x14ac:dyDescent="0.2">
      <c r="A43" t="s">
        <v>31</v>
      </c>
      <c r="C43" t="s">
        <v>38</v>
      </c>
    </row>
    <row r="44" spans="1:8" x14ac:dyDescent="0.2">
      <c r="A44">
        <v>7</v>
      </c>
      <c r="B44">
        <v>614</v>
      </c>
    </row>
    <row r="45" spans="1:8" x14ac:dyDescent="0.2">
      <c r="A45">
        <v>8</v>
      </c>
      <c r="B45">
        <v>726</v>
      </c>
    </row>
    <row r="46" spans="1:8" x14ac:dyDescent="0.2">
      <c r="A46">
        <v>15</v>
      </c>
      <c r="B46">
        <v>486</v>
      </c>
      <c r="C46">
        <v>300</v>
      </c>
    </row>
    <row r="47" spans="1:8" x14ac:dyDescent="0.2">
      <c r="A47">
        <v>21</v>
      </c>
      <c r="B47">
        <v>362</v>
      </c>
    </row>
    <row r="48" spans="1:8" x14ac:dyDescent="0.2">
      <c r="A48">
        <v>22</v>
      </c>
      <c r="B48">
        <v>870</v>
      </c>
      <c r="C48">
        <v>450</v>
      </c>
    </row>
    <row r="49" spans="2:3" x14ac:dyDescent="0.2">
      <c r="B49">
        <v>427</v>
      </c>
      <c r="C49">
        <v>213</v>
      </c>
    </row>
    <row r="66" spans="2:3" x14ac:dyDescent="0.2">
      <c r="B66">
        <f>SUM(B44:B65)</f>
        <v>3485</v>
      </c>
      <c r="C66">
        <f>SUM(C44:C63)</f>
        <v>963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97E6A-5378-F045-A34B-75BE22E2BEC9}">
  <dimension ref="A2:I40"/>
  <sheetViews>
    <sheetView zoomScaleNormal="100" zoomScaleSheetLayoutView="100" workbookViewId="0">
      <selection activeCell="F31" sqref="F31"/>
    </sheetView>
  </sheetViews>
  <sheetFormatPr defaultRowHeight="15" x14ac:dyDescent="0.2"/>
  <cols>
    <col min="1" max="1" width="10.76171875" customWidth="1"/>
    <col min="4" max="4" width="10.76171875" customWidth="1"/>
    <col min="6" max="6" width="11.296875" customWidth="1"/>
    <col min="7" max="7" width="22.734375" customWidth="1"/>
  </cols>
  <sheetData>
    <row r="2" spans="1:9" x14ac:dyDescent="0.2">
      <c r="D2" t="s">
        <v>5</v>
      </c>
      <c r="G2" t="s">
        <v>20</v>
      </c>
    </row>
    <row r="3" spans="1:9" x14ac:dyDescent="0.2">
      <c r="B3" t="s">
        <v>8</v>
      </c>
      <c r="C3" t="s">
        <v>10</v>
      </c>
      <c r="G3">
        <v>97.41</v>
      </c>
    </row>
    <row r="4" spans="1:9" x14ac:dyDescent="0.2">
      <c r="A4">
        <v>1</v>
      </c>
      <c r="B4">
        <v>566</v>
      </c>
      <c r="C4" s="2">
        <v>348</v>
      </c>
      <c r="D4" t="s">
        <v>12</v>
      </c>
      <c r="G4">
        <v>78.64</v>
      </c>
    </row>
    <row r="5" spans="1:9" x14ac:dyDescent="0.2">
      <c r="A5">
        <v>2</v>
      </c>
      <c r="B5">
        <v>0</v>
      </c>
      <c r="C5" s="2">
        <v>7.3</v>
      </c>
      <c r="D5" t="s">
        <v>13</v>
      </c>
      <c r="E5" s="1"/>
      <c r="G5">
        <v>-57.51</v>
      </c>
    </row>
    <row r="6" spans="1:9" x14ac:dyDescent="0.2">
      <c r="A6">
        <v>3</v>
      </c>
      <c r="B6">
        <v>1140</v>
      </c>
      <c r="C6" s="2">
        <v>194.82</v>
      </c>
      <c r="D6" t="s">
        <v>16</v>
      </c>
      <c r="G6">
        <v>19.68</v>
      </c>
      <c r="I6" t="s">
        <v>1</v>
      </c>
    </row>
    <row r="7" spans="1:9" x14ac:dyDescent="0.2">
      <c r="A7">
        <v>4</v>
      </c>
      <c r="B7">
        <v>737</v>
      </c>
      <c r="C7" s="2">
        <v>264.5</v>
      </c>
      <c r="D7" t="s">
        <v>18</v>
      </c>
      <c r="G7">
        <v>11.76</v>
      </c>
      <c r="I7">
        <v>1369</v>
      </c>
    </row>
    <row r="8" spans="1:9" x14ac:dyDescent="0.2">
      <c r="A8">
        <v>5</v>
      </c>
      <c r="B8">
        <v>554</v>
      </c>
      <c r="C8" s="2">
        <v>115.02</v>
      </c>
      <c r="D8" t="s">
        <v>19</v>
      </c>
      <c r="G8">
        <v>50.76</v>
      </c>
    </row>
    <row r="9" spans="1:9" x14ac:dyDescent="0.2">
      <c r="A9">
        <v>6</v>
      </c>
      <c r="B9">
        <v>670</v>
      </c>
      <c r="C9" s="2"/>
      <c r="G9">
        <v>244.08</v>
      </c>
    </row>
    <row r="10" spans="1:9" x14ac:dyDescent="0.2">
      <c r="A10">
        <v>7</v>
      </c>
      <c r="B10">
        <v>957</v>
      </c>
      <c r="C10" s="2">
        <v>105</v>
      </c>
      <c r="D10" t="s">
        <v>21</v>
      </c>
      <c r="G10">
        <v>250</v>
      </c>
    </row>
    <row r="11" spans="1:9" x14ac:dyDescent="0.2">
      <c r="A11">
        <v>8</v>
      </c>
      <c r="B11">
        <v>829</v>
      </c>
      <c r="C11" s="2"/>
      <c r="G11">
        <v>61.74</v>
      </c>
    </row>
    <row r="12" spans="1:9" x14ac:dyDescent="0.2">
      <c r="A12">
        <v>9</v>
      </c>
      <c r="B12">
        <v>826</v>
      </c>
      <c r="C12" s="2">
        <v>488</v>
      </c>
      <c r="D12" t="s">
        <v>22</v>
      </c>
      <c r="G12">
        <v>310.60000000000002</v>
      </c>
    </row>
    <row r="13" spans="1:9" x14ac:dyDescent="0.2">
      <c r="A13">
        <v>10</v>
      </c>
      <c r="B13">
        <v>1449</v>
      </c>
      <c r="C13" s="2">
        <v>123.5</v>
      </c>
      <c r="D13" t="s">
        <v>18</v>
      </c>
      <c r="G13">
        <v>155.74</v>
      </c>
    </row>
    <row r="14" spans="1:9" x14ac:dyDescent="0.2">
      <c r="A14">
        <v>11</v>
      </c>
      <c r="B14">
        <v>475</v>
      </c>
      <c r="C14" s="2">
        <v>621.20000000000005</v>
      </c>
      <c r="D14" t="s">
        <v>23</v>
      </c>
      <c r="G14">
        <v>98</v>
      </c>
    </row>
    <row r="15" spans="1:9" x14ac:dyDescent="0.2">
      <c r="A15">
        <v>12</v>
      </c>
      <c r="B15">
        <v>430</v>
      </c>
      <c r="C15" s="2">
        <v>311.48</v>
      </c>
      <c r="D15" t="s">
        <v>23</v>
      </c>
      <c r="G15">
        <v>-212.45</v>
      </c>
    </row>
    <row r="16" spans="1:9" x14ac:dyDescent="0.2">
      <c r="A16">
        <v>13</v>
      </c>
      <c r="B16">
        <v>542</v>
      </c>
      <c r="C16" s="2">
        <v>196.8</v>
      </c>
      <c r="D16" t="s">
        <v>24</v>
      </c>
      <c r="G16">
        <v>43.86</v>
      </c>
    </row>
    <row r="17" spans="1:6" x14ac:dyDescent="0.2">
      <c r="A17">
        <v>14</v>
      </c>
      <c r="B17">
        <v>569</v>
      </c>
      <c r="C17" s="2">
        <v>424.9</v>
      </c>
      <c r="F17" s="3"/>
    </row>
    <row r="18" spans="1:6" x14ac:dyDescent="0.2">
      <c r="A18">
        <v>15</v>
      </c>
      <c r="B18">
        <v>388</v>
      </c>
      <c r="C18" s="2">
        <v>87.72</v>
      </c>
    </row>
    <row r="19" spans="1:6" x14ac:dyDescent="0.2">
      <c r="A19">
        <v>16</v>
      </c>
      <c r="B19">
        <v>729</v>
      </c>
    </row>
    <row r="20" spans="1:6" x14ac:dyDescent="0.2">
      <c r="A20">
        <v>17</v>
      </c>
      <c r="B20">
        <v>814</v>
      </c>
    </row>
    <row r="21" spans="1:6" x14ac:dyDescent="0.2">
      <c r="A21">
        <v>18</v>
      </c>
      <c r="B21">
        <v>990</v>
      </c>
    </row>
    <row r="22" spans="1:6" x14ac:dyDescent="0.2">
      <c r="A22">
        <v>19</v>
      </c>
      <c r="B22">
        <v>654</v>
      </c>
    </row>
    <row r="23" spans="1:6" x14ac:dyDescent="0.2">
      <c r="A23">
        <v>20</v>
      </c>
      <c r="B23">
        <v>860</v>
      </c>
    </row>
    <row r="24" spans="1:6" x14ac:dyDescent="0.2">
      <c r="A24">
        <v>21</v>
      </c>
      <c r="B24">
        <v>757</v>
      </c>
    </row>
    <row r="25" spans="1:6" x14ac:dyDescent="0.2">
      <c r="A25">
        <v>22</v>
      </c>
      <c r="B25">
        <v>758</v>
      </c>
    </row>
    <row r="26" spans="1:6" x14ac:dyDescent="0.2">
      <c r="A26">
        <v>23</v>
      </c>
      <c r="B26">
        <v>1121</v>
      </c>
    </row>
    <row r="27" spans="1:6" x14ac:dyDescent="0.2">
      <c r="A27">
        <v>24</v>
      </c>
      <c r="B27">
        <v>1317</v>
      </c>
    </row>
    <row r="28" spans="1:6" x14ac:dyDescent="0.2">
      <c r="A28">
        <v>25</v>
      </c>
      <c r="B28">
        <v>0</v>
      </c>
    </row>
    <row r="29" spans="1:6" x14ac:dyDescent="0.2">
      <c r="A29">
        <v>26</v>
      </c>
      <c r="B29">
        <v>855</v>
      </c>
    </row>
    <row r="30" spans="1:6" x14ac:dyDescent="0.2">
      <c r="A30">
        <v>27</v>
      </c>
      <c r="B30">
        <v>734</v>
      </c>
    </row>
    <row r="31" spans="1:6" x14ac:dyDescent="0.2">
      <c r="A31">
        <v>28</v>
      </c>
      <c r="B31">
        <v>738</v>
      </c>
    </row>
    <row r="32" spans="1:6" x14ac:dyDescent="0.2">
      <c r="A32">
        <v>29</v>
      </c>
      <c r="B32">
        <v>700</v>
      </c>
    </row>
    <row r="33" spans="1:7" x14ac:dyDescent="0.2">
      <c r="A33">
        <v>30</v>
      </c>
      <c r="B33">
        <v>796</v>
      </c>
    </row>
    <row r="34" spans="1:7" x14ac:dyDescent="0.2">
      <c r="A34">
        <v>31</v>
      </c>
      <c r="B34">
        <v>667</v>
      </c>
      <c r="C34">
        <v>2680</v>
      </c>
    </row>
    <row r="35" spans="1:7" x14ac:dyDescent="0.2">
      <c r="A35" t="s">
        <v>9</v>
      </c>
      <c r="B35">
        <f>SUM(B4:B34)</f>
        <v>22622</v>
      </c>
      <c r="C35">
        <f>SUM(C4:C34)</f>
        <v>5968.24</v>
      </c>
    </row>
    <row r="36" spans="1:7" x14ac:dyDescent="0.2">
      <c r="A36" t="s">
        <v>11</v>
      </c>
      <c r="B36">
        <f>B35-C35</f>
        <v>16653.760000000002</v>
      </c>
    </row>
    <row r="37" spans="1:7" x14ac:dyDescent="0.2">
      <c r="G37">
        <f>SUM(G3:G36)</f>
        <v>1152.31</v>
      </c>
    </row>
    <row r="39" spans="1:7" x14ac:dyDescent="0.2">
      <c r="E39" t="s">
        <v>15</v>
      </c>
      <c r="G39">
        <f>'Novembro 22'!D18+B37</f>
        <v>1512.835</v>
      </c>
    </row>
    <row r="40" spans="1:7" x14ac:dyDescent="0.2">
      <c r="A40" t="s">
        <v>17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5FE05-C00A-3647-84FF-C3A89E92D43E}">
  <dimension ref="A2:H18"/>
  <sheetViews>
    <sheetView zoomScaleNormal="100" zoomScaleSheetLayoutView="100" workbookViewId="0">
      <selection activeCell="B4" sqref="B4"/>
    </sheetView>
  </sheetViews>
  <sheetFormatPr defaultRowHeight="15" x14ac:dyDescent="0.2"/>
  <cols>
    <col min="3" max="3" width="12.9140625" customWidth="1"/>
    <col min="4" max="4" width="8.7421875" bestFit="1" customWidth="1"/>
  </cols>
  <sheetData>
    <row r="2" spans="1:8" x14ac:dyDescent="0.2">
      <c r="C2" t="s">
        <v>4</v>
      </c>
    </row>
    <row r="4" spans="1:8" x14ac:dyDescent="0.2">
      <c r="A4">
        <v>21</v>
      </c>
      <c r="B4">
        <v>443.33</v>
      </c>
    </row>
    <row r="5" spans="1:8" x14ac:dyDescent="0.2">
      <c r="A5">
        <v>23</v>
      </c>
      <c r="B5">
        <v>324.60000000000002</v>
      </c>
      <c r="D5" s="1"/>
      <c r="F5">
        <v>1950</v>
      </c>
    </row>
    <row r="6" spans="1:8" x14ac:dyDescent="0.2">
      <c r="A6">
        <v>24</v>
      </c>
      <c r="B6">
        <v>284.33</v>
      </c>
      <c r="E6" t="s">
        <v>6</v>
      </c>
      <c r="F6">
        <v>928</v>
      </c>
    </row>
    <row r="7" spans="1:8" x14ac:dyDescent="0.2">
      <c r="A7">
        <v>25</v>
      </c>
      <c r="B7">
        <v>627</v>
      </c>
      <c r="F7">
        <f>SUM(F5:F6)</f>
        <v>2878</v>
      </c>
    </row>
    <row r="8" spans="1:8" x14ac:dyDescent="0.2">
      <c r="A8">
        <v>26</v>
      </c>
      <c r="B8">
        <v>732</v>
      </c>
    </row>
    <row r="9" spans="1:8" x14ac:dyDescent="0.2">
      <c r="A9">
        <v>27</v>
      </c>
      <c r="B9">
        <v>465.5</v>
      </c>
    </row>
    <row r="10" spans="1:8" x14ac:dyDescent="0.2">
      <c r="A10">
        <v>28</v>
      </c>
      <c r="B10">
        <v>247</v>
      </c>
    </row>
    <row r="11" spans="1:8" x14ac:dyDescent="0.2">
      <c r="A11">
        <v>29</v>
      </c>
      <c r="B11">
        <v>427.68</v>
      </c>
    </row>
    <row r="12" spans="1:8" x14ac:dyDescent="0.2">
      <c r="A12">
        <v>30</v>
      </c>
      <c r="B12">
        <v>402.23</v>
      </c>
      <c r="C12" t="s">
        <v>14</v>
      </c>
    </row>
    <row r="13" spans="1:8" x14ac:dyDescent="0.2">
      <c r="B13">
        <f>SUM(B3:B12)</f>
        <v>3953.67</v>
      </c>
      <c r="C13">
        <f>(B13-B3)/2</f>
        <v>1976.835</v>
      </c>
    </row>
    <row r="16" spans="1:8" x14ac:dyDescent="0.2">
      <c r="H16" t="s">
        <v>3</v>
      </c>
    </row>
    <row r="18" spans="2:4" x14ac:dyDescent="0.2">
      <c r="B18" t="s">
        <v>7</v>
      </c>
      <c r="C18">
        <f>B13-F7</f>
        <v>1075.67</v>
      </c>
      <c r="D18">
        <f>C13-(F6/2)</f>
        <v>1512.835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Anual</vt:lpstr>
      <vt:lpstr>Aug 26</vt:lpstr>
      <vt:lpstr>Jul 26</vt:lpstr>
      <vt:lpstr>Jun 26</vt:lpstr>
      <vt:lpstr>May 26</vt:lpstr>
      <vt:lpstr>April 26</vt:lpstr>
      <vt:lpstr>March 26</vt:lpstr>
      <vt:lpstr>February 26</vt:lpstr>
      <vt:lpstr>January 26</vt:lpstr>
      <vt:lpstr>Dezembro 25</vt:lpstr>
      <vt:lpstr>Novembro 25</vt:lpstr>
      <vt:lpstr>Outubro 25</vt:lpstr>
      <vt:lpstr>Setembro 25</vt:lpstr>
      <vt:lpstr>Agosto 25</vt:lpstr>
      <vt:lpstr>Julho 25</vt:lpstr>
      <vt:lpstr>Junho 25</vt:lpstr>
      <vt:lpstr>Maio 25</vt:lpstr>
      <vt:lpstr>Abril 25</vt:lpstr>
      <vt:lpstr>Mar 25</vt:lpstr>
      <vt:lpstr>Fev 25</vt:lpstr>
      <vt:lpstr>Jan 25</vt:lpstr>
      <vt:lpstr>Dez 24</vt:lpstr>
      <vt:lpstr>Nov 24</vt:lpstr>
      <vt:lpstr>Outubro 24</vt:lpstr>
      <vt:lpstr>Setembro 24</vt:lpstr>
      <vt:lpstr>Agosto 24</vt:lpstr>
      <vt:lpstr>Julho 24</vt:lpstr>
      <vt:lpstr>Junho 24</vt:lpstr>
      <vt:lpstr>Maio 24</vt:lpstr>
      <vt:lpstr>Abril 24</vt:lpstr>
      <vt:lpstr>Março 24</vt:lpstr>
      <vt:lpstr>Fevereiro 24</vt:lpstr>
      <vt:lpstr>Janeiro 24 </vt:lpstr>
      <vt:lpstr>Dezembro 23</vt:lpstr>
      <vt:lpstr>Novembro 23</vt:lpstr>
      <vt:lpstr>Outubro 23</vt:lpstr>
      <vt:lpstr>Setembro 23</vt:lpstr>
      <vt:lpstr>Agosto 23</vt:lpstr>
      <vt:lpstr>Julho 23</vt:lpstr>
      <vt:lpstr>Junho 23</vt:lpstr>
      <vt:lpstr>Maio 23</vt:lpstr>
      <vt:lpstr>Abril 23</vt:lpstr>
      <vt:lpstr>Março 23</vt:lpstr>
      <vt:lpstr>Fevereiro 23</vt:lpstr>
      <vt:lpstr>Janeiro 23</vt:lpstr>
      <vt:lpstr>Dezembro 22</vt:lpstr>
      <vt:lpstr>Novembro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Daka Sobrinho</dc:creator>
  <dcterms:created xsi:type="dcterms:W3CDTF">2022-11-21T08:04:28Z</dcterms:created>
</cp:coreProperties>
</file>